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README" sheetId="2" state="visible" r:id="rId4"/>
  </sheets>
  <definedNames>
    <definedName function="false" hidden="true" localSheetId="0" name="_xlnm._FilterDatabase" vbProcedure="false">Leads!$A$1:$V$36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<sst xmlns="http://schemas.openxmlformats.org/spreadsheetml/2006/main" count="496" uniqueCount="288">
  <si>
    <t xml:space="preserve">ID</t>
  </si>
  <si>
    <t xml:space="preserve">Name</t>
  </si>
  <si>
    <t xml:space="preserve">Diaspora Category</t>
  </si>
  <si>
    <t xml:space="preserve">City</t>
  </si>
  <si>
    <t xml:space="preserve">Country</t>
  </si>
  <si>
    <t xml:space="preserve">Region</t>
  </si>
  <si>
    <t xml:space="preserve">Primary Wealth Source</t>
  </si>
  <si>
    <t xml:space="preserve">Company</t>
  </si>
  <si>
    <t xml:space="preserve">Industry</t>
  </si>
  <si>
    <t xml:space="preserve">Listed Exchange / Ticker</t>
  </si>
  <si>
    <t xml:space="preserve">Est. Net Worth ($bn, reported ~2025-26)</t>
  </si>
  <si>
    <t xml:space="preserve">Wealth Source Type</t>
  </si>
  <si>
    <t xml:space="preserve">Liquidity / Addressability Signal</t>
  </si>
  <si>
    <t xml:space="preserve">Public Source</t>
  </si>
  <si>
    <t xml:space="preserve">NW Tier (1-5)</t>
  </si>
  <si>
    <t xml:space="preserve">Liquidity (1-5)</t>
  </si>
  <si>
    <t xml:space="preserve">Geo Fit (1-5)</t>
  </si>
  <si>
    <t xml:space="preserve">Source Fit (1-5)</t>
  </si>
  <si>
    <t xml:space="preserve">Access (1-5)</t>
  </si>
  <si>
    <t xml:space="preserve">Lead Score (0-100)</t>
  </si>
  <si>
    <t xml:space="preserve">Priority</t>
  </si>
  <si>
    <t xml:space="preserve">Notes</t>
  </si>
  <si>
    <t xml:space="preserve">Jay Chaudhry</t>
  </si>
  <si>
    <t xml:space="preserve">OCI / Indian-origin</t>
  </si>
  <si>
    <t xml:space="preserve">Reno, NV</t>
  </si>
  <si>
    <t xml:space="preserve">USA</t>
  </si>
  <si>
    <t xml:space="preserve">USA &amp; Canada</t>
  </si>
  <si>
    <t xml:space="preserve">Cybersecurity (Zscaler founder/CEO)</t>
  </si>
  <si>
    <t xml:space="preserve">Zscaler</t>
  </si>
  <si>
    <t xml:space="preserve">Technology</t>
  </si>
  <si>
    <t xml:space="preserve">NASDAQ: ZS</t>
  </si>
  <si>
    <t xml:space="preserve">Self-made</t>
  </si>
  <si>
    <t xml:space="preserve">Listed equity - large founder stake, Form 4 filer</t>
  </si>
  <si>
    <t xml:space="preserve">Forbes 2025 / India.com</t>
  </si>
  <si>
    <t xml:space="preserve">Verify citizenship/residency &amp; current net worth before outreach</t>
  </si>
  <si>
    <t xml:space="preserve">Vinod Khosla</t>
  </si>
  <si>
    <t xml:space="preserve">Portola Valley, CA</t>
  </si>
  <si>
    <t xml:space="preserve">Venture capital (Khosla Ventures)</t>
  </si>
  <si>
    <t xml:space="preserve">Khosla Ventures</t>
  </si>
  <si>
    <t xml:space="preserve">Finance / VC</t>
  </si>
  <si>
    <t xml:space="preserve">Private</t>
  </si>
  <si>
    <t xml:space="preserve">Private fund GP - illiquid but sophisticated</t>
  </si>
  <si>
    <t xml:space="preserve">Forbes 2025 / SCMP</t>
  </si>
  <si>
    <t xml:space="preserve">Rakesh Gangwal</t>
  </si>
  <si>
    <t xml:space="preserve">Miami, FL</t>
  </si>
  <si>
    <t xml:space="preserve">Aviation (IndiGo co-founder)</t>
  </si>
  <si>
    <t xml:space="preserve">InterGlobe Aviation</t>
  </si>
  <si>
    <t xml:space="preserve">Aviation</t>
  </si>
  <si>
    <t xml:space="preserve">NSE/BSE: INDIGO</t>
  </si>
  <si>
    <t xml:space="preserve">Listed equity - has sold large blocks (liquid)</t>
  </si>
  <si>
    <t xml:space="preserve">Forbes 2025</t>
  </si>
  <si>
    <t xml:space="preserve">Romesh Wadhwani</t>
  </si>
  <si>
    <t xml:space="preserve">Palo Alto, CA</t>
  </si>
  <si>
    <t xml:space="preserve">Enterprise software (Symphony Tech Group)</t>
  </si>
  <si>
    <t xml:space="preserve">SymphonyAI</t>
  </si>
  <si>
    <t xml:space="preserve">Technology / PE</t>
  </si>
  <si>
    <t xml:space="preserve">PE / private holdings</t>
  </si>
  <si>
    <t xml:space="preserve">Jayshree Ullal</t>
  </si>
  <si>
    <t xml:space="preserve">Saratoga, CA</t>
  </si>
  <si>
    <t xml:space="preserve">Networking (Arista CEO)</t>
  </si>
  <si>
    <t xml:space="preserve">Arista Networks</t>
  </si>
  <si>
    <t xml:space="preserve">NYSE: ANET</t>
  </si>
  <si>
    <t xml:space="preserve">Listed equity - exec stake, Form 4 filer</t>
  </si>
  <si>
    <t xml:space="preserve">Aneel Bhusri</t>
  </si>
  <si>
    <t xml:space="preserve">California</t>
  </si>
  <si>
    <t xml:space="preserve">Enterprise SaaS (Workday co-founder)</t>
  </si>
  <si>
    <t xml:space="preserve">Workday</t>
  </si>
  <si>
    <t xml:space="preserve">NASDAQ: WDAY</t>
  </si>
  <si>
    <t xml:space="preserve">Listed equity - founder stake, Form 4 filer</t>
  </si>
  <si>
    <t xml:space="preserve">Kavitark Ram Shriram</t>
  </si>
  <si>
    <t xml:space="preserve">Menlo Park, CA</t>
  </si>
  <si>
    <t xml:space="preserve">Early-stage investing (Google board)</t>
  </si>
  <si>
    <t xml:space="preserve">Sherpalo Ventures</t>
  </si>
  <si>
    <t xml:space="preserve">NASDAQ: GOOGL (holder)</t>
  </si>
  <si>
    <t xml:space="preserve">Listed equity holder + VC</t>
  </si>
  <si>
    <t xml:space="preserve">Raj Sardana</t>
  </si>
  <si>
    <t xml:space="preserve">Atlanta, GA</t>
  </si>
  <si>
    <t xml:space="preserve">IT services (Innova Solutions)</t>
  </si>
  <si>
    <t xml:space="preserve">Innova Solutions</t>
  </si>
  <si>
    <t xml:space="preserve">Technology / IT services</t>
  </si>
  <si>
    <t xml:space="preserve">Privately held services firm</t>
  </si>
  <si>
    <t xml:space="preserve">Niraj Shah</t>
  </si>
  <si>
    <t xml:space="preserve">Boston, MA</t>
  </si>
  <si>
    <t xml:space="preserve">E-commerce (Wayfair co-founder/CEO)</t>
  </si>
  <si>
    <t xml:space="preserve">Wayfair</t>
  </si>
  <si>
    <t xml:space="preserve">Retail / Technology</t>
  </si>
  <si>
    <t xml:space="preserve">NYSE: W</t>
  </si>
  <si>
    <t xml:space="preserve">Nikesh Arora</t>
  </si>
  <si>
    <t xml:space="preserve">Cybersecurity (Palo Alto Networks CEO)</t>
  </si>
  <si>
    <t xml:space="preserve">Palo Alto Networks</t>
  </si>
  <si>
    <t xml:space="preserve">NASDAQ: PANW</t>
  </si>
  <si>
    <t xml:space="preserve">Listed equity - large comp/RSU, Form 4 filer</t>
  </si>
  <si>
    <t xml:space="preserve">Forbes / news 2025</t>
  </si>
  <si>
    <t xml:space="preserve">Sundar Pichai</t>
  </si>
  <si>
    <t xml:space="preserve">Los Altos, CA</t>
  </si>
  <si>
    <t xml:space="preserve">Technology (Alphabet CEO)</t>
  </si>
  <si>
    <t xml:space="preserve">Alphabet</t>
  </si>
  <si>
    <t xml:space="preserve">NASDAQ: GOOGL</t>
  </si>
  <si>
    <t xml:space="preserve">Listed equity - RSU/stock, Form 4 filer</t>
  </si>
  <si>
    <t xml:space="preserve">Forbes 2025 (new)</t>
  </si>
  <si>
    <t xml:space="preserve">Satya Nadella</t>
  </si>
  <si>
    <t xml:space="preserve">Clyde Hill, WA</t>
  </si>
  <si>
    <t xml:space="preserve">Technology (Microsoft CEO)</t>
  </si>
  <si>
    <t xml:space="preserve">Microsoft</t>
  </si>
  <si>
    <t xml:space="preserve">NASDAQ: MSFT</t>
  </si>
  <si>
    <t xml:space="preserve">news 2025 (new billionaire)</t>
  </si>
  <si>
    <t xml:space="preserve">Gopichand Hinduja &amp; family</t>
  </si>
  <si>
    <t xml:space="preserve">NRI</t>
  </si>
  <si>
    <t xml:space="preserve">London</t>
  </si>
  <si>
    <t xml:space="preserve">UK</t>
  </si>
  <si>
    <t xml:space="preserve">UK &amp; Europe</t>
  </si>
  <si>
    <t xml:space="preserve">Diversified conglomerate (Hinduja Group)</t>
  </si>
  <si>
    <t xml:space="preserve">Hinduja Group</t>
  </si>
  <si>
    <t xml:space="preserve">Conglomerate</t>
  </si>
  <si>
    <t xml:space="preserve">Private + LSE-linked units</t>
  </si>
  <si>
    <t xml:space="preserve">Inherited / Family</t>
  </si>
  <si>
    <t xml:space="preserve">Family-controlled - private + some listed units</t>
  </si>
  <si>
    <t xml:space="preserve">Hurun 2025 / India.com</t>
  </si>
  <si>
    <t xml:space="preserve">Lakshmi N. Mittal &amp; family</t>
  </si>
  <si>
    <t xml:space="preserve">Steel (ArcelorMittal chairman)</t>
  </si>
  <si>
    <t xml:space="preserve">ArcelorMittal</t>
  </si>
  <si>
    <t xml:space="preserve">Steel / Materials</t>
  </si>
  <si>
    <t xml:space="preserve">NYSE/Euronext: MT</t>
  </si>
  <si>
    <t xml:space="preserve">Listed equity - large chairman stake</t>
  </si>
  <si>
    <t xml:space="preserve">Hurun 2025 / Business Standard</t>
  </si>
  <si>
    <t xml:space="preserve">Anil Agarwal</t>
  </si>
  <si>
    <t xml:space="preserve">Mining &amp; metals (Vedanta founder)</t>
  </si>
  <si>
    <t xml:space="preserve">Vedanta Resources</t>
  </si>
  <si>
    <t xml:space="preserve">Mining / Metals</t>
  </si>
  <si>
    <t xml:space="preserve">NSE/BSE: VEDL</t>
  </si>
  <si>
    <t xml:space="preserve">Listed equity - controlling stake (India-listed)</t>
  </si>
  <si>
    <t xml:space="preserve">India.com / Hurun 2025</t>
  </si>
  <si>
    <t xml:space="preserve">Sunny Varkey</t>
  </si>
  <si>
    <t xml:space="preserve">London / Dubai</t>
  </si>
  <si>
    <t xml:space="preserve">Education (GEMS Education founder)</t>
  </si>
  <si>
    <t xml:space="preserve">GEMS Education</t>
  </si>
  <si>
    <t xml:space="preserve">Education</t>
  </si>
  <si>
    <t xml:space="preserve">Private - PE-backed, prior monetisation</t>
  </si>
  <si>
    <t xml:space="preserve">news / Hurun</t>
  </si>
  <si>
    <t xml:space="preserve">Surinder Arora</t>
  </si>
  <si>
    <t xml:space="preserve">Hospitality &amp; real estate (Arora Group)</t>
  </si>
  <si>
    <t xml:space="preserve">Arora Group</t>
  </si>
  <si>
    <t xml:space="preserve">Hospitality / Real estate</t>
  </si>
  <si>
    <t xml:space="preserve">Private property &amp; hotels portfolio</t>
  </si>
  <si>
    <t xml:space="preserve">UK rich list</t>
  </si>
  <si>
    <t xml:space="preserve">Vinod Adani</t>
  </si>
  <si>
    <t xml:space="preserve">Dubai</t>
  </si>
  <si>
    <t xml:space="preserve">UAE</t>
  </si>
  <si>
    <t xml:space="preserve">Gulf</t>
  </si>
  <si>
    <t xml:space="preserve">Overseas investments (Adani-linked)</t>
  </si>
  <si>
    <t xml:space="preserve">Adani-linked entities</t>
  </si>
  <si>
    <t xml:space="preserve">Conglomerate / Investments</t>
  </si>
  <si>
    <t xml:space="preserve">Private + linked listed</t>
  </si>
  <si>
    <t xml:space="preserve">Family</t>
  </si>
  <si>
    <t xml:space="preserve">Complex offshore holdings</t>
  </si>
  <si>
    <t xml:space="preserve">Forbes 2026 / news</t>
  </si>
  <si>
    <t xml:space="preserve">Yusuff Ali M.A.</t>
  </si>
  <si>
    <t xml:space="preserve">Abu Dhabi</t>
  </si>
  <si>
    <t xml:space="preserve">Retail (LuLu Group founder)</t>
  </si>
  <si>
    <t xml:space="preserve">LuLu Group International</t>
  </si>
  <si>
    <t xml:space="preserve">Retail</t>
  </si>
  <si>
    <t xml:space="preserve">ADX: LULU (LuLu Retail)</t>
  </si>
  <si>
    <t xml:space="preserve">Listed equity post-IPO - liquid</t>
  </si>
  <si>
    <t xml:space="preserve">Forbes 2026 / LuLu</t>
  </si>
  <si>
    <t xml:space="preserve">Ravi Pillai</t>
  </si>
  <si>
    <t xml:space="preserve">Dubai / Kerala</t>
  </si>
  <si>
    <t xml:space="preserve">Construction &amp; EPC (RP Group)</t>
  </si>
  <si>
    <t xml:space="preserve">RP Group</t>
  </si>
  <si>
    <t xml:space="preserve">Construction / EPC</t>
  </si>
  <si>
    <t xml:space="preserve">Private contracting group</t>
  </si>
  <si>
    <t xml:space="preserve">Forbes / news</t>
  </si>
  <si>
    <t xml:space="preserve">Rizwan Sajan</t>
  </si>
  <si>
    <t xml:space="preserve">Building materials (Danube Group)</t>
  </si>
  <si>
    <t xml:space="preserve">Danube Group</t>
  </si>
  <si>
    <t xml:space="preserve">Building materials / Real estate</t>
  </si>
  <si>
    <t xml:space="preserve">Private - real estate arm expanding</t>
  </si>
  <si>
    <t xml:space="preserve">Pankaj Gupta / Mahesh &amp; Co (Gulf NRI tier)</t>
  </si>
  <si>
    <t xml:space="preserve">Diversified Gulf NRI entrepreneurs</t>
  </si>
  <si>
    <t xml:space="preserve">Various</t>
  </si>
  <si>
    <t xml:space="preserve">Diversified</t>
  </si>
  <si>
    <t xml:space="preserve">Owner-operator businesses</t>
  </si>
  <si>
    <t xml:space="preserve">Gulf News / Hurun</t>
  </si>
  <si>
    <t xml:space="preserve">B.K. Modi (Spice/Smart Global)</t>
  </si>
  <si>
    <t xml:space="preserve">Singapore</t>
  </si>
  <si>
    <t xml:space="preserve">Singapore &amp; APAC</t>
  </si>
  <si>
    <t xml:space="preserve">Telecom &amp; diversified (Spice Group)</t>
  </si>
  <si>
    <t xml:space="preserve">Smart Global Holdings</t>
  </si>
  <si>
    <t xml:space="preserve">Telecom / Diversified</t>
  </si>
  <si>
    <t xml:space="preserve">Inherited / Self-made</t>
  </si>
  <si>
    <t xml:space="preserve">Private holdings</t>
  </si>
  <si>
    <t xml:space="preserve">Singapore-based NRI billionaire (Hurun-listed)</t>
  </si>
  <si>
    <t xml:space="preserve">Finance / trading (verify identity)</t>
  </si>
  <si>
    <t xml:space="preserve">Verify</t>
  </si>
  <si>
    <t xml:space="preserve">Finance</t>
  </si>
  <si>
    <t xml:space="preserve">Per Hurun: 3 NRI billionaires in SG</t>
  </si>
  <si>
    <t xml:space="preserve">Hurun 2025</t>
  </si>
  <si>
    <t xml:space="preserve">Vivek Chaand Sehgal</t>
  </si>
  <si>
    <t xml:space="preserve">Sydney / Singapore</t>
  </si>
  <si>
    <t xml:space="preserve">Australia</t>
  </si>
  <si>
    <t xml:space="preserve">Auto components (Motherson founder)</t>
  </si>
  <si>
    <t xml:space="preserve">Samvardhana Motherson</t>
  </si>
  <si>
    <t xml:space="preserve">Auto components</t>
  </si>
  <si>
    <t xml:space="preserve">NSE/BSE: MOTHERSON</t>
  </si>
  <si>
    <t xml:space="preserve">Listed equity - promoter stake (liquid)</t>
  </si>
  <si>
    <t xml:space="preserve">Forbes / Hurun</t>
  </si>
  <si>
    <t xml:space="preserve">Mukesh Ambani &amp; family</t>
  </si>
  <si>
    <t xml:space="preserve">Resident India</t>
  </si>
  <si>
    <t xml:space="preserve">Mumbai</t>
  </si>
  <si>
    <t xml:space="preserve">India</t>
  </si>
  <si>
    <t xml:space="preserve">Energy, retail, telecom (Reliance)</t>
  </si>
  <si>
    <t xml:space="preserve">Reliance Industries</t>
  </si>
  <si>
    <t xml:space="preserve">NSE/BSE: RELIANCE</t>
  </si>
  <si>
    <t xml:space="preserve">Inherited / Built</t>
  </si>
  <si>
    <t xml:space="preserve">Listed equity - controlling promoter stake</t>
  </si>
  <si>
    <t xml:space="preserve">Hurun/Forbes 2025</t>
  </si>
  <si>
    <t xml:space="preserve">Gautam Adani &amp; family</t>
  </si>
  <si>
    <t xml:space="preserve">Ahmedabad</t>
  </si>
  <si>
    <t xml:space="preserve">Infrastructure, ports, energy (Adani)</t>
  </si>
  <si>
    <t xml:space="preserve">Adani Group</t>
  </si>
  <si>
    <t xml:space="preserve">NSE/BSE: ADANIENT</t>
  </si>
  <si>
    <t xml:space="preserve">Listed equity - controlling promoter stakes</t>
  </si>
  <si>
    <t xml:space="preserve">Shiv Nadar &amp; family</t>
  </si>
  <si>
    <t xml:space="preserve">Delhi</t>
  </si>
  <si>
    <t xml:space="preserve">IT services (HCL founder)</t>
  </si>
  <si>
    <t xml:space="preserve">HCLTech</t>
  </si>
  <si>
    <t xml:space="preserve">NSE/BSE: HCLTECH</t>
  </si>
  <si>
    <t xml:space="preserve">Listed equity + large philanthropy vehicle</t>
  </si>
  <si>
    <t xml:space="preserve">Savitri Jindal &amp; family</t>
  </si>
  <si>
    <t xml:space="preserve">Hisar</t>
  </si>
  <si>
    <t xml:space="preserve">Steel &amp; power (OP Jindal Group)</t>
  </si>
  <si>
    <t xml:space="preserve">Jindal Group</t>
  </si>
  <si>
    <t xml:space="preserve">Steel / Power</t>
  </si>
  <si>
    <t xml:space="preserve">NSE/BSE: JINDALSTEL</t>
  </si>
  <si>
    <t xml:space="preserve">Inherited</t>
  </si>
  <si>
    <t xml:space="preserve">Listed equity - family stakes</t>
  </si>
  <si>
    <t xml:space="preserve">Dilip Shanghvi &amp; family</t>
  </si>
  <si>
    <t xml:space="preserve">Pharmaceuticals (Sun Pharma founder)</t>
  </si>
  <si>
    <t xml:space="preserve">Sun Pharmaceutical</t>
  </si>
  <si>
    <t xml:space="preserve">Pharmaceuticals</t>
  </si>
  <si>
    <t xml:space="preserve">NSE/BSE: SUNPHARMA</t>
  </si>
  <si>
    <t xml:space="preserve">Listed equity - promoter stake</t>
  </si>
  <si>
    <t xml:space="preserve">Cyrus S. Poonawalla &amp; family</t>
  </si>
  <si>
    <t xml:space="preserve">Pune</t>
  </si>
  <si>
    <t xml:space="preserve">Vaccines (Serum Institute)</t>
  </si>
  <si>
    <t xml:space="preserve">Serum Institute of India</t>
  </si>
  <si>
    <t xml:space="preserve">Pharmaceuticals / Biotech</t>
  </si>
  <si>
    <t xml:space="preserve">Privately held - very high free cash flow</t>
  </si>
  <si>
    <t xml:space="preserve">Radhakishan Damani &amp; family</t>
  </si>
  <si>
    <t xml:space="preserve">Retail &amp; investing (DMart)</t>
  </si>
  <si>
    <t xml:space="preserve">Avenue Supermarts</t>
  </si>
  <si>
    <t xml:space="preserve">NSE/BSE: DMART</t>
  </si>
  <si>
    <t xml:space="preserve">Listed equity - large promoter &amp; PMS portfolio</t>
  </si>
  <si>
    <t xml:space="preserve">Kumar Mangalam Birla &amp; family</t>
  </si>
  <si>
    <t xml:space="preserve">Diversified (Aditya Birla Group)</t>
  </si>
  <si>
    <t xml:space="preserve">Aditya Birla Group</t>
  </si>
  <si>
    <t xml:space="preserve">NSE/BSE: multiple</t>
  </si>
  <si>
    <t xml:space="preserve">Listed equity - multiple group cos</t>
  </si>
  <si>
    <t xml:space="preserve">Azim Premji &amp; family</t>
  </si>
  <si>
    <t xml:space="preserve">Bengaluru</t>
  </si>
  <si>
    <t xml:space="preserve">IT services (Wipro)</t>
  </si>
  <si>
    <t xml:space="preserve">Wipro</t>
  </si>
  <si>
    <t xml:space="preserve">NSE/BSE: WIPRO</t>
  </si>
  <si>
    <t xml:space="preserve">Listed equity - large stake pledged to philanthropy</t>
  </si>
  <si>
    <t xml:space="preserve">Shah Rukh Khan</t>
  </si>
  <si>
    <t xml:space="preserve">Entertainment &amp; IPL (Red Chillies/KKR)</t>
  </si>
  <si>
    <t xml:space="preserve">Red Chillies Entertainment</t>
  </si>
  <si>
    <t xml:space="preserve">Media / Entertainment</t>
  </si>
  <si>
    <t xml:space="preserve">Private - brand, media, sports assets</t>
  </si>
  <si>
    <t xml:space="preserve">Hurun 2024/25 (new)</t>
  </si>
  <si>
    <t xml:space="preserve">UHNW NRI / OCI — Wealth &amp; Asset Management Lead List (Starter)</t>
  </si>
  <si>
    <t xml:space="preserve">Purpose</t>
  </si>
  <si>
    <t xml:space="preserve">Prospecting list of ultra-high-net-worth Indian-origin individuals (NRI/OCI) + resident India UHNW, for wealth/asset-management outreach.</t>
  </si>
  <si>
    <t xml:space="preserve">Coverage</t>
  </si>
  <si>
    <t xml:space="preserve">Gulf, USA &amp; Canada, UK &amp; Europe, Singapore &amp; APAC, India.</t>
  </si>
  <si>
    <t xml:space="preserve">Sources</t>
  </si>
  <si>
    <t xml:space="preserve">Hurun India/Global Rich List 2025, Forbes 2025/26, reputable news. All figures are PUBLIC reported estimates.</t>
  </si>
  <si>
    <t xml:space="preserve">IMPORTANT — accuracy</t>
  </si>
  <si>
    <t xml:space="preserve">Net-worth figures change constantly and some entries need identity/citizenship verification. Treat as a research starting point, not verified CRM data.</t>
  </si>
  <si>
    <t xml:space="preserve">IMPORTANT — compliance</t>
  </si>
  <si>
    <t xml:space="preserve">Use only lawfully. Respect GDPR, India DPDP Act 2023, UAE/Singapore data laws, and platform terms. Honour opt-outs. See COMPLIANCE.md.</t>
  </si>
  <si>
    <t xml:space="preserve">Lead Score</t>
  </si>
  <si>
    <t xml:space="preserve">Weighted 0-100: Net-worth tier 30%, Liquidity/addressability 25%, Geo fit 15%, Wealth-source fit 15%, Accessibility 15%.</t>
  </si>
  <si>
    <t xml:space="preserve">Priority bands</t>
  </si>
  <si>
    <t xml:space="preserve">A - Hot (&gt;=80), B - Warm (65-79), C - Develop (&lt;65).</t>
  </si>
  <si>
    <t xml:space="preserve">Colour coding</t>
  </si>
  <si>
    <t xml:space="preserve">Blue cells = analyst inputs you can change; black = formulas.</t>
  </si>
  <si>
    <t xml:space="preserve">Refresh</t>
  </si>
  <si>
    <t xml:space="preserve">Re-run the Python pipeline (see README.md) to add/enrich leads from SEC EDGAR, web search and paid providers.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</si>
</sst>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10" min="9" style="0" width="20"/>
    <col collapsed="false" customWidth="true" hidden="false" outlineLevel="0" max="12" min="11" style="0" width="16"/>
    <col collapsed="false" customWidth="true" hidden="false" outlineLevel="0" max="13" min="13" style="0" width="32"/>
    <col collapsed="false" customWidth="true" hidden="false" outlineLevel="0" max="14" min="14" style="0" width="20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3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3.85" hidden="false" customHeight="false" outlineLevel="0" collapsed="false">
      <c r="A2" s="2" t="n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 t="s">
        <v>27</v>
      </c>
      <c r="H2" s="2" t="s">
        <v>28</v>
      </c>
      <c r="I2" s="2" t="s">
        <v>29</v>
      </c>
      <c r="J2" s="2" t="s">
        <v>30</v>
      </c>
      <c r="K2" s="4" t="n">
        <v>17.9</v>
      </c>
      <c r="L2" s="2" t="s">
        <v>31</v>
      </c>
      <c r="M2" s="3" t="s">
        <v>32</v>
      </c>
      <c r="N2" s="2" t="s">
        <v>33</v>
      </c>
      <c r="O2" s="2" t="n">
        <f aca="false">IF(K2&gt;=20,5,IF(K2&gt;=10,4,IF(K2&gt;=3,3,IF(K2&gt;=1,2,1))))</f>
        <v>4</v>
      </c>
      <c r="P2" s="5" t="n">
        <v>5</v>
      </c>
      <c r="Q2" s="5" t="n">
        <v>5</v>
      </c>
      <c r="R2" s="5" t="n">
        <v>5</v>
      </c>
      <c r="S2" s="5" t="n">
        <v>4</v>
      </c>
      <c r="T2" s="2" t="n">
        <f aca="false">ROUND((O2*0.3+P2*0.25+Q2*0.15+R2*0.15+S2*0.15)/5*100,0)</f>
        <v>91</v>
      </c>
      <c r="U2" s="2" t="str">
        <f aca="false">IF(T2&gt;=80,"A - Hot",IF(T2&gt;=65,"B - Warm","C - Develop"))</f>
        <v>A - Hot</v>
      </c>
      <c r="V2" s="3" t="s">
        <v>34</v>
      </c>
    </row>
    <row r="3" customFormat="false" ht="23.85" hidden="false" customHeight="false" outlineLevel="0" collapsed="false">
      <c r="A3" s="2" t="n">
        <v>2</v>
      </c>
      <c r="B3" s="2" t="s">
        <v>35</v>
      </c>
      <c r="C3" s="2" t="s">
        <v>23</v>
      </c>
      <c r="D3" s="2" t="s">
        <v>36</v>
      </c>
      <c r="E3" s="2" t="s">
        <v>25</v>
      </c>
      <c r="F3" s="2" t="s">
        <v>26</v>
      </c>
      <c r="G3" s="3" t="s">
        <v>37</v>
      </c>
      <c r="H3" s="2" t="s">
        <v>38</v>
      </c>
      <c r="I3" s="2" t="s">
        <v>39</v>
      </c>
      <c r="J3" s="2" t="s">
        <v>40</v>
      </c>
      <c r="K3" s="4" t="n">
        <v>9.2</v>
      </c>
      <c r="L3" s="2" t="s">
        <v>31</v>
      </c>
      <c r="M3" s="3" t="s">
        <v>41</v>
      </c>
      <c r="N3" s="2" t="s">
        <v>42</v>
      </c>
      <c r="O3" s="2" t="n">
        <f aca="false">IF(K3&gt;=20,5,IF(K3&gt;=10,4,IF(K3&gt;=3,3,IF(K3&gt;=1,2,1))))</f>
        <v>3</v>
      </c>
      <c r="P3" s="5" t="n">
        <v>3</v>
      </c>
      <c r="Q3" s="5" t="n">
        <v>5</v>
      </c>
      <c r="R3" s="5" t="n">
        <v>4</v>
      </c>
      <c r="S3" s="5" t="n">
        <v>3</v>
      </c>
      <c r="T3" s="2" t="n">
        <f aca="false">ROUND((O3*0.3+P3*0.25+Q3*0.15+R3*0.15+S3*0.15)/5*100,0)</f>
        <v>69</v>
      </c>
      <c r="U3" s="2" t="str">
        <f aca="false">IF(T3&gt;=80,"A - Hot",IF(T3&gt;=65,"B - Warm","C - Develop"))</f>
        <v>B - Warm</v>
      </c>
      <c r="V3" s="3" t="s">
        <v>34</v>
      </c>
    </row>
    <row r="4" customFormat="false" ht="23.85" hidden="false" customHeight="false" outlineLevel="0" collapsed="false">
      <c r="A4" s="2" t="n">
        <v>3</v>
      </c>
      <c r="B4" s="2" t="s">
        <v>43</v>
      </c>
      <c r="C4" s="2" t="s">
        <v>23</v>
      </c>
      <c r="D4" s="2" t="s">
        <v>44</v>
      </c>
      <c r="E4" s="2" t="s">
        <v>25</v>
      </c>
      <c r="F4" s="2" t="s">
        <v>26</v>
      </c>
      <c r="G4" s="3" t="s">
        <v>45</v>
      </c>
      <c r="H4" s="2" t="s">
        <v>46</v>
      </c>
      <c r="I4" s="2" t="s">
        <v>47</v>
      </c>
      <c r="J4" s="2" t="s">
        <v>48</v>
      </c>
      <c r="K4" s="4" t="n">
        <v>6.6</v>
      </c>
      <c r="L4" s="2" t="s">
        <v>31</v>
      </c>
      <c r="M4" s="3" t="s">
        <v>49</v>
      </c>
      <c r="N4" s="2" t="s">
        <v>50</v>
      </c>
      <c r="O4" s="2" t="n">
        <f aca="false">IF(K4&gt;=20,5,IF(K4&gt;=10,4,IF(K4&gt;=3,3,IF(K4&gt;=1,2,1))))</f>
        <v>3</v>
      </c>
      <c r="P4" s="5" t="n">
        <v>5</v>
      </c>
      <c r="Q4" s="5" t="n">
        <v>4</v>
      </c>
      <c r="R4" s="5" t="n">
        <v>4</v>
      </c>
      <c r="S4" s="5" t="n">
        <v>3</v>
      </c>
      <c r="T4" s="2" t="n">
        <f aca="false">ROUND((O4*0.3+P4*0.25+Q4*0.15+R4*0.15+S4*0.15)/5*100,0)</f>
        <v>76</v>
      </c>
      <c r="U4" s="2" t="str">
        <f aca="false">IF(T4&gt;=80,"A - Hot",IF(T4&gt;=65,"B - Warm","C - Develop"))</f>
        <v>B - Warm</v>
      </c>
      <c r="V4" s="3" t="s">
        <v>34</v>
      </c>
    </row>
    <row r="5" customFormat="false" ht="23.85" hidden="false" customHeight="false" outlineLevel="0" collapsed="false">
      <c r="A5" s="2" t="n">
        <v>4</v>
      </c>
      <c r="B5" s="2" t="s">
        <v>51</v>
      </c>
      <c r="C5" s="2" t="s">
        <v>23</v>
      </c>
      <c r="D5" s="2" t="s">
        <v>52</v>
      </c>
      <c r="E5" s="2" t="s">
        <v>25</v>
      </c>
      <c r="F5" s="2" t="s">
        <v>26</v>
      </c>
      <c r="G5" s="3" t="s">
        <v>53</v>
      </c>
      <c r="H5" s="2" t="s">
        <v>54</v>
      </c>
      <c r="I5" s="2" t="s">
        <v>55</v>
      </c>
      <c r="J5" s="2" t="s">
        <v>40</v>
      </c>
      <c r="K5" s="4" t="n">
        <v>5</v>
      </c>
      <c r="L5" s="2" t="s">
        <v>31</v>
      </c>
      <c r="M5" s="3" t="s">
        <v>56</v>
      </c>
      <c r="N5" s="2" t="s">
        <v>50</v>
      </c>
      <c r="O5" s="2" t="n">
        <f aca="false">IF(K5&gt;=20,5,IF(K5&gt;=10,4,IF(K5&gt;=3,3,IF(K5&gt;=1,2,1))))</f>
        <v>3</v>
      </c>
      <c r="P5" s="5" t="n">
        <v>3</v>
      </c>
      <c r="Q5" s="5" t="n">
        <v>4</v>
      </c>
      <c r="R5" s="5" t="n">
        <v>4</v>
      </c>
      <c r="S5" s="5" t="n">
        <v>3</v>
      </c>
      <c r="T5" s="2" t="n">
        <f aca="false">ROUND((O5*0.3+P5*0.25+Q5*0.15+R5*0.15+S5*0.15)/5*100,0)</f>
        <v>66</v>
      </c>
      <c r="U5" s="2" t="str">
        <f aca="false">IF(T5&gt;=80,"A - Hot",IF(T5&gt;=65,"B - Warm","C - Develop"))</f>
        <v>B - Warm</v>
      </c>
      <c r="V5" s="3" t="s">
        <v>34</v>
      </c>
    </row>
    <row r="6" customFormat="false" ht="23.85" hidden="false" customHeight="false" outlineLevel="0" collapsed="false">
      <c r="A6" s="2" t="n">
        <v>5</v>
      </c>
      <c r="B6" s="2" t="s">
        <v>57</v>
      </c>
      <c r="C6" s="2" t="s">
        <v>23</v>
      </c>
      <c r="D6" s="2" t="s">
        <v>58</v>
      </c>
      <c r="E6" s="2" t="s">
        <v>25</v>
      </c>
      <c r="F6" s="2" t="s">
        <v>26</v>
      </c>
      <c r="G6" s="3" t="s">
        <v>59</v>
      </c>
      <c r="H6" s="2" t="s">
        <v>60</v>
      </c>
      <c r="I6" s="2" t="s">
        <v>29</v>
      </c>
      <c r="J6" s="2" t="s">
        <v>61</v>
      </c>
      <c r="K6" s="4" t="n">
        <v>4.5</v>
      </c>
      <c r="L6" s="2" t="s">
        <v>31</v>
      </c>
      <c r="M6" s="3" t="s">
        <v>62</v>
      </c>
      <c r="N6" s="2" t="s">
        <v>50</v>
      </c>
      <c r="O6" s="2" t="n">
        <f aca="false">IF(K6&gt;=20,5,IF(K6&gt;=10,4,IF(K6&gt;=3,3,IF(K6&gt;=1,2,1))))</f>
        <v>3</v>
      </c>
      <c r="P6" s="5" t="n">
        <v>5</v>
      </c>
      <c r="Q6" s="5" t="n">
        <v>5</v>
      </c>
      <c r="R6" s="5" t="n">
        <v>5</v>
      </c>
      <c r="S6" s="5" t="n">
        <v>4</v>
      </c>
      <c r="T6" s="2" t="n">
        <f aca="false">ROUND((O6*0.3+P6*0.25+Q6*0.15+R6*0.15+S6*0.15)/5*100,0)</f>
        <v>85</v>
      </c>
      <c r="U6" s="2" t="str">
        <f aca="false">IF(T6&gt;=80,"A - Hot",IF(T6&gt;=65,"B - Warm","C - Develop"))</f>
        <v>A - Hot</v>
      </c>
      <c r="V6" s="3" t="s">
        <v>34</v>
      </c>
    </row>
    <row r="7" customFormat="false" ht="23.85" hidden="false" customHeight="false" outlineLevel="0" collapsed="false">
      <c r="A7" s="2" t="n">
        <v>6</v>
      </c>
      <c r="B7" s="2" t="s">
        <v>63</v>
      </c>
      <c r="C7" s="2" t="s">
        <v>23</v>
      </c>
      <c r="D7" s="2" t="s">
        <v>64</v>
      </c>
      <c r="E7" s="2" t="s">
        <v>25</v>
      </c>
      <c r="F7" s="2" t="s">
        <v>26</v>
      </c>
      <c r="G7" s="3" t="s">
        <v>65</v>
      </c>
      <c r="H7" s="2" t="s">
        <v>66</v>
      </c>
      <c r="I7" s="2" t="s">
        <v>29</v>
      </c>
      <c r="J7" s="2" t="s">
        <v>67</v>
      </c>
      <c r="K7" s="4" t="n">
        <v>3.3</v>
      </c>
      <c r="L7" s="2" t="s">
        <v>31</v>
      </c>
      <c r="M7" s="3" t="s">
        <v>68</v>
      </c>
      <c r="N7" s="2" t="s">
        <v>50</v>
      </c>
      <c r="O7" s="2" t="n">
        <f aca="false">IF(K7&gt;=20,5,IF(K7&gt;=10,4,IF(K7&gt;=3,3,IF(K7&gt;=1,2,1))))</f>
        <v>3</v>
      </c>
      <c r="P7" s="5" t="n">
        <v>5</v>
      </c>
      <c r="Q7" s="5" t="n">
        <v>5</v>
      </c>
      <c r="R7" s="5" t="n">
        <v>5</v>
      </c>
      <c r="S7" s="5" t="n">
        <v>4</v>
      </c>
      <c r="T7" s="2" t="n">
        <f aca="false">ROUND((O7*0.3+P7*0.25+Q7*0.15+R7*0.15+S7*0.15)/5*100,0)</f>
        <v>85</v>
      </c>
      <c r="U7" s="2" t="str">
        <f aca="false">IF(T7&gt;=80,"A - Hot",IF(T7&gt;=65,"B - Warm","C - Develop"))</f>
        <v>A - Hot</v>
      </c>
      <c r="V7" s="3" t="s">
        <v>34</v>
      </c>
    </row>
    <row r="8" customFormat="false" ht="23.85" hidden="false" customHeight="false" outlineLevel="0" collapsed="false">
      <c r="A8" s="2" t="n">
        <v>7</v>
      </c>
      <c r="B8" s="2" t="s">
        <v>69</v>
      </c>
      <c r="C8" s="2" t="s">
        <v>23</v>
      </c>
      <c r="D8" s="2" t="s">
        <v>70</v>
      </c>
      <c r="E8" s="2" t="s">
        <v>25</v>
      </c>
      <c r="F8" s="2" t="s">
        <v>26</v>
      </c>
      <c r="G8" s="3" t="s">
        <v>71</v>
      </c>
      <c r="H8" s="2" t="s">
        <v>72</v>
      </c>
      <c r="I8" s="2" t="s">
        <v>39</v>
      </c>
      <c r="J8" s="2" t="s">
        <v>73</v>
      </c>
      <c r="K8" s="4" t="n">
        <v>3</v>
      </c>
      <c r="L8" s="2" t="s">
        <v>31</v>
      </c>
      <c r="M8" s="3" t="s">
        <v>74</v>
      </c>
      <c r="N8" s="2" t="s">
        <v>50</v>
      </c>
      <c r="O8" s="2" t="n">
        <f aca="false">IF(K8&gt;=20,5,IF(K8&gt;=10,4,IF(K8&gt;=3,3,IF(K8&gt;=1,2,1))))</f>
        <v>3</v>
      </c>
      <c r="P8" s="5" t="n">
        <v>4</v>
      </c>
      <c r="Q8" s="5" t="n">
        <v>5</v>
      </c>
      <c r="R8" s="5" t="n">
        <v>4</v>
      </c>
      <c r="S8" s="5" t="n">
        <v>3</v>
      </c>
      <c r="T8" s="2" t="n">
        <f aca="false">ROUND((O8*0.3+P8*0.25+Q8*0.15+R8*0.15+S8*0.15)/5*100,0)</f>
        <v>74</v>
      </c>
      <c r="U8" s="2" t="str">
        <f aca="false">IF(T8&gt;=80,"A - Hot",IF(T8&gt;=65,"B - Warm","C - Develop"))</f>
        <v>B - Warm</v>
      </c>
      <c r="V8" s="3" t="s">
        <v>34</v>
      </c>
    </row>
    <row r="9" customFormat="false" ht="23.85" hidden="false" customHeight="false" outlineLevel="0" collapsed="false">
      <c r="A9" s="2" t="n">
        <v>8</v>
      </c>
      <c r="B9" s="2" t="s">
        <v>75</v>
      </c>
      <c r="C9" s="2" t="s">
        <v>23</v>
      </c>
      <c r="D9" s="2" t="s">
        <v>76</v>
      </c>
      <c r="E9" s="2" t="s">
        <v>25</v>
      </c>
      <c r="F9" s="2" t="s">
        <v>26</v>
      </c>
      <c r="G9" s="3" t="s">
        <v>77</v>
      </c>
      <c r="H9" s="2" t="s">
        <v>78</v>
      </c>
      <c r="I9" s="2" t="s">
        <v>79</v>
      </c>
      <c r="J9" s="2" t="s">
        <v>40</v>
      </c>
      <c r="K9" s="4" t="n">
        <v>2</v>
      </c>
      <c r="L9" s="2" t="s">
        <v>31</v>
      </c>
      <c r="M9" s="3" t="s">
        <v>80</v>
      </c>
      <c r="N9" s="2" t="s">
        <v>50</v>
      </c>
      <c r="O9" s="2" t="n">
        <f aca="false">IF(K9&gt;=20,5,IF(K9&gt;=10,4,IF(K9&gt;=3,3,IF(K9&gt;=1,2,1))))</f>
        <v>2</v>
      </c>
      <c r="P9" s="5" t="n">
        <v>3</v>
      </c>
      <c r="Q9" s="5" t="n">
        <v>4</v>
      </c>
      <c r="R9" s="5" t="n">
        <v>4</v>
      </c>
      <c r="S9" s="5" t="n">
        <v>3</v>
      </c>
      <c r="T9" s="2" t="n">
        <f aca="false">ROUND((O9*0.3+P9*0.25+Q9*0.15+R9*0.15+S9*0.15)/5*100,0)</f>
        <v>60</v>
      </c>
      <c r="U9" s="2" t="str">
        <f aca="false">IF(T9&gt;=80,"A - Hot",IF(T9&gt;=65,"B - Warm","C - Develop"))</f>
        <v>C - Develop</v>
      </c>
      <c r="V9" s="3" t="s">
        <v>34</v>
      </c>
    </row>
    <row r="10" customFormat="false" ht="23.85" hidden="false" customHeight="false" outlineLevel="0" collapsed="false">
      <c r="A10" s="2" t="n">
        <v>9</v>
      </c>
      <c r="B10" s="2" t="s">
        <v>81</v>
      </c>
      <c r="C10" s="2" t="s">
        <v>23</v>
      </c>
      <c r="D10" s="2" t="s">
        <v>82</v>
      </c>
      <c r="E10" s="2" t="s">
        <v>25</v>
      </c>
      <c r="F10" s="2" t="s">
        <v>26</v>
      </c>
      <c r="G10" s="3" t="s">
        <v>83</v>
      </c>
      <c r="H10" s="2" t="s">
        <v>84</v>
      </c>
      <c r="I10" s="2" t="s">
        <v>85</v>
      </c>
      <c r="J10" s="2" t="s">
        <v>86</v>
      </c>
      <c r="K10" s="4" t="n">
        <v>1.6</v>
      </c>
      <c r="L10" s="2" t="s">
        <v>31</v>
      </c>
      <c r="M10" s="3" t="s">
        <v>68</v>
      </c>
      <c r="N10" s="2" t="s">
        <v>50</v>
      </c>
      <c r="O10" s="2" t="n">
        <f aca="false">IF(K10&gt;=20,5,IF(K10&gt;=10,4,IF(K10&gt;=3,3,IF(K10&gt;=1,2,1))))</f>
        <v>2</v>
      </c>
      <c r="P10" s="5" t="n">
        <v>5</v>
      </c>
      <c r="Q10" s="5" t="n">
        <v>4</v>
      </c>
      <c r="R10" s="5" t="n">
        <v>5</v>
      </c>
      <c r="S10" s="5" t="n">
        <v>4</v>
      </c>
      <c r="T10" s="2" t="n">
        <f aca="false">ROUND((O10*0.3+P10*0.25+Q10*0.15+R10*0.15+S10*0.15)/5*100,0)</f>
        <v>76</v>
      </c>
      <c r="U10" s="2" t="str">
        <f aca="false">IF(T10&gt;=80,"A - Hot",IF(T10&gt;=65,"B - Warm","C - Develop"))</f>
        <v>B - Warm</v>
      </c>
      <c r="V10" s="3" t="s">
        <v>34</v>
      </c>
    </row>
    <row r="11" customFormat="false" ht="23.85" hidden="false" customHeight="false" outlineLevel="0" collapsed="false">
      <c r="A11" s="2" t="n">
        <v>10</v>
      </c>
      <c r="B11" s="2" t="s">
        <v>87</v>
      </c>
      <c r="C11" s="2" t="s">
        <v>23</v>
      </c>
      <c r="D11" s="2" t="s">
        <v>52</v>
      </c>
      <c r="E11" s="2" t="s">
        <v>25</v>
      </c>
      <c r="F11" s="2" t="s">
        <v>26</v>
      </c>
      <c r="G11" s="3" t="s">
        <v>88</v>
      </c>
      <c r="H11" s="2" t="s">
        <v>89</v>
      </c>
      <c r="I11" s="2" t="s">
        <v>29</v>
      </c>
      <c r="J11" s="2" t="s">
        <v>90</v>
      </c>
      <c r="K11" s="4" t="n">
        <v>1.5</v>
      </c>
      <c r="L11" s="2" t="s">
        <v>31</v>
      </c>
      <c r="M11" s="3" t="s">
        <v>91</v>
      </c>
      <c r="N11" s="2" t="s">
        <v>92</v>
      </c>
      <c r="O11" s="2" t="n">
        <f aca="false">IF(K11&gt;=20,5,IF(K11&gt;=10,4,IF(K11&gt;=3,3,IF(K11&gt;=1,2,1))))</f>
        <v>2</v>
      </c>
      <c r="P11" s="5" t="n">
        <v>5</v>
      </c>
      <c r="Q11" s="5" t="n">
        <v>5</v>
      </c>
      <c r="R11" s="5" t="n">
        <v>5</v>
      </c>
      <c r="S11" s="5" t="n">
        <v>4</v>
      </c>
      <c r="T11" s="2" t="n">
        <f aca="false">ROUND((O11*0.3+P11*0.25+Q11*0.15+R11*0.15+S11*0.15)/5*100,0)</f>
        <v>79</v>
      </c>
      <c r="U11" s="2" t="str">
        <f aca="false">IF(T11&gt;=80,"A - Hot",IF(T11&gt;=65,"B - Warm","C - Develop"))</f>
        <v>B - Warm</v>
      </c>
      <c r="V11" s="3" t="s">
        <v>34</v>
      </c>
    </row>
    <row r="12" customFormat="false" ht="23.85" hidden="false" customHeight="false" outlineLevel="0" collapsed="false">
      <c r="A12" s="2" t="n">
        <v>11</v>
      </c>
      <c r="B12" s="2" t="s">
        <v>93</v>
      </c>
      <c r="C12" s="2" t="s">
        <v>23</v>
      </c>
      <c r="D12" s="2" t="s">
        <v>94</v>
      </c>
      <c r="E12" s="2" t="s">
        <v>25</v>
      </c>
      <c r="F12" s="2" t="s">
        <v>26</v>
      </c>
      <c r="G12" s="3" t="s">
        <v>95</v>
      </c>
      <c r="H12" s="2" t="s">
        <v>96</v>
      </c>
      <c r="I12" s="2" t="s">
        <v>29</v>
      </c>
      <c r="J12" s="2" t="s">
        <v>97</v>
      </c>
      <c r="K12" s="4" t="n">
        <v>1.3</v>
      </c>
      <c r="L12" s="2" t="s">
        <v>31</v>
      </c>
      <c r="M12" s="3" t="s">
        <v>98</v>
      </c>
      <c r="N12" s="2" t="s">
        <v>99</v>
      </c>
      <c r="O12" s="2" t="n">
        <f aca="false">IF(K12&gt;=20,5,IF(K12&gt;=10,4,IF(K12&gt;=3,3,IF(K12&gt;=1,2,1))))</f>
        <v>2</v>
      </c>
      <c r="P12" s="5" t="n">
        <v>5</v>
      </c>
      <c r="Q12" s="5" t="n">
        <v>5</v>
      </c>
      <c r="R12" s="5" t="n">
        <v>4</v>
      </c>
      <c r="S12" s="5" t="n">
        <v>3</v>
      </c>
      <c r="T12" s="2" t="n">
        <f aca="false">ROUND((O12*0.3+P12*0.25+Q12*0.15+R12*0.15+S12*0.15)/5*100,0)</f>
        <v>73</v>
      </c>
      <c r="U12" s="2" t="str">
        <f aca="false">IF(T12&gt;=80,"A - Hot",IF(T12&gt;=65,"B - Warm","C - Develop"))</f>
        <v>B - Warm</v>
      </c>
      <c r="V12" s="3" t="s">
        <v>34</v>
      </c>
    </row>
    <row r="13" customFormat="false" ht="23.85" hidden="false" customHeight="false" outlineLevel="0" collapsed="false">
      <c r="A13" s="2" t="n">
        <v>12</v>
      </c>
      <c r="B13" s="2" t="s">
        <v>100</v>
      </c>
      <c r="C13" s="2" t="s">
        <v>23</v>
      </c>
      <c r="D13" s="2" t="s">
        <v>101</v>
      </c>
      <c r="E13" s="2" t="s">
        <v>25</v>
      </c>
      <c r="F13" s="2" t="s">
        <v>26</v>
      </c>
      <c r="G13" s="3" t="s">
        <v>102</v>
      </c>
      <c r="H13" s="2" t="s">
        <v>103</v>
      </c>
      <c r="I13" s="2" t="s">
        <v>29</v>
      </c>
      <c r="J13" s="2" t="s">
        <v>104</v>
      </c>
      <c r="K13" s="4" t="n">
        <v>1.1</v>
      </c>
      <c r="L13" s="2" t="s">
        <v>31</v>
      </c>
      <c r="M13" s="3" t="s">
        <v>98</v>
      </c>
      <c r="N13" s="2" t="s">
        <v>105</v>
      </c>
      <c r="O13" s="2" t="n">
        <f aca="false">IF(K13&gt;=20,5,IF(K13&gt;=10,4,IF(K13&gt;=3,3,IF(K13&gt;=1,2,1))))</f>
        <v>2</v>
      </c>
      <c r="P13" s="5" t="n">
        <v>5</v>
      </c>
      <c r="Q13" s="5" t="n">
        <v>5</v>
      </c>
      <c r="R13" s="5" t="n">
        <v>4</v>
      </c>
      <c r="S13" s="5" t="n">
        <v>3</v>
      </c>
      <c r="T13" s="2" t="n">
        <f aca="false">ROUND((O13*0.3+P13*0.25+Q13*0.15+R13*0.15+S13*0.15)/5*100,0)</f>
        <v>73</v>
      </c>
      <c r="U13" s="2" t="str">
        <f aca="false">IF(T13&gt;=80,"A - Hot",IF(T13&gt;=65,"B - Warm","C - Develop"))</f>
        <v>B - Warm</v>
      </c>
      <c r="V13" s="3" t="s">
        <v>34</v>
      </c>
    </row>
    <row r="14" customFormat="false" ht="23.85" hidden="false" customHeight="false" outlineLevel="0" collapsed="false">
      <c r="A14" s="2" t="n">
        <v>13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3" t="s">
        <v>111</v>
      </c>
      <c r="H14" s="2" t="s">
        <v>112</v>
      </c>
      <c r="I14" s="2" t="s">
        <v>113</v>
      </c>
      <c r="J14" s="2" t="s">
        <v>114</v>
      </c>
      <c r="K14" s="4" t="n">
        <v>22.2</v>
      </c>
      <c r="L14" s="2" t="s">
        <v>115</v>
      </c>
      <c r="M14" s="3" t="s">
        <v>116</v>
      </c>
      <c r="N14" s="2" t="s">
        <v>117</v>
      </c>
      <c r="O14" s="2" t="n">
        <f aca="false">IF(K14&gt;=20,5,IF(K14&gt;=10,4,IF(K14&gt;=3,3,IF(K14&gt;=1,2,1))))</f>
        <v>5</v>
      </c>
      <c r="P14" s="5" t="n">
        <v>2</v>
      </c>
      <c r="Q14" s="5" t="n">
        <v>5</v>
      </c>
      <c r="R14" s="5" t="n">
        <v>3</v>
      </c>
      <c r="S14" s="5" t="n">
        <v>3</v>
      </c>
      <c r="T14" s="2" t="n">
        <f aca="false">ROUND((O14*0.3+P14*0.25+Q14*0.15+R14*0.15+S14*0.15)/5*100,0)</f>
        <v>73</v>
      </c>
      <c r="U14" s="2" t="str">
        <f aca="false">IF(T14&gt;=80,"A - Hot",IF(T14&gt;=65,"B - Warm","C - Develop"))</f>
        <v>B - Warm</v>
      </c>
      <c r="V14" s="3" t="s">
        <v>34</v>
      </c>
    </row>
    <row r="15" customFormat="false" ht="23.85" hidden="false" customHeight="false" outlineLevel="0" collapsed="false">
      <c r="A15" s="2" t="n">
        <v>14</v>
      </c>
      <c r="B15" s="2" t="s">
        <v>118</v>
      </c>
      <c r="C15" s="2" t="s">
        <v>107</v>
      </c>
      <c r="D15" s="2" t="s">
        <v>108</v>
      </c>
      <c r="E15" s="2" t="s">
        <v>109</v>
      </c>
      <c r="F15" s="2" t="s">
        <v>110</v>
      </c>
      <c r="G15" s="3" t="s">
        <v>119</v>
      </c>
      <c r="H15" s="2" t="s">
        <v>120</v>
      </c>
      <c r="I15" s="2" t="s">
        <v>121</v>
      </c>
      <c r="J15" s="2" t="s">
        <v>122</v>
      </c>
      <c r="K15" s="4" t="n">
        <v>21</v>
      </c>
      <c r="L15" s="2" t="s">
        <v>31</v>
      </c>
      <c r="M15" s="3" t="s">
        <v>123</v>
      </c>
      <c r="N15" s="2" t="s">
        <v>124</v>
      </c>
      <c r="O15" s="2" t="n">
        <f aca="false">IF(K15&gt;=20,5,IF(K15&gt;=10,4,IF(K15&gt;=3,3,IF(K15&gt;=1,2,1))))</f>
        <v>5</v>
      </c>
      <c r="P15" s="5" t="n">
        <v>4</v>
      </c>
      <c r="Q15" s="5" t="n">
        <v>5</v>
      </c>
      <c r="R15" s="5" t="n">
        <v>4</v>
      </c>
      <c r="S15" s="5" t="n">
        <v>3</v>
      </c>
      <c r="T15" s="2" t="n">
        <f aca="false">ROUND((O15*0.3+P15*0.25+Q15*0.15+R15*0.15+S15*0.15)/5*100,0)</f>
        <v>86</v>
      </c>
      <c r="U15" s="2" t="str">
        <f aca="false">IF(T15&gt;=80,"A - Hot",IF(T15&gt;=65,"B - Warm","C - Develop"))</f>
        <v>A - Hot</v>
      </c>
      <c r="V15" s="3" t="s">
        <v>34</v>
      </c>
    </row>
    <row r="16" customFormat="false" ht="23.85" hidden="false" customHeight="false" outlineLevel="0" collapsed="false">
      <c r="A16" s="2" t="n">
        <v>15</v>
      </c>
      <c r="B16" s="2" t="s">
        <v>125</v>
      </c>
      <c r="C16" s="2" t="s">
        <v>107</v>
      </c>
      <c r="D16" s="2" t="s">
        <v>108</v>
      </c>
      <c r="E16" s="2" t="s">
        <v>109</v>
      </c>
      <c r="F16" s="2" t="s">
        <v>110</v>
      </c>
      <c r="G16" s="3" t="s">
        <v>126</v>
      </c>
      <c r="H16" s="2" t="s">
        <v>127</v>
      </c>
      <c r="I16" s="2" t="s">
        <v>128</v>
      </c>
      <c r="J16" s="2" t="s">
        <v>129</v>
      </c>
      <c r="K16" s="4" t="n">
        <v>11.4</v>
      </c>
      <c r="L16" s="2" t="s">
        <v>31</v>
      </c>
      <c r="M16" s="3" t="s">
        <v>130</v>
      </c>
      <c r="N16" s="2" t="s">
        <v>131</v>
      </c>
      <c r="O16" s="2" t="n">
        <f aca="false">IF(K16&gt;=20,5,IF(K16&gt;=10,4,IF(K16&gt;=3,3,IF(K16&gt;=1,2,1))))</f>
        <v>4</v>
      </c>
      <c r="P16" s="5" t="n">
        <v>4</v>
      </c>
      <c r="Q16" s="5" t="n">
        <v>4</v>
      </c>
      <c r="R16" s="5" t="n">
        <v>4</v>
      </c>
      <c r="S16" s="5" t="n">
        <v>3</v>
      </c>
      <c r="T16" s="2" t="n">
        <f aca="false">ROUND((O16*0.3+P16*0.25+Q16*0.15+R16*0.15+S16*0.15)/5*100,0)</f>
        <v>77</v>
      </c>
      <c r="U16" s="2" t="str">
        <f aca="false">IF(T16&gt;=80,"A - Hot",IF(T16&gt;=65,"B - Warm","C - Develop"))</f>
        <v>B - Warm</v>
      </c>
      <c r="V16" s="3" t="s">
        <v>34</v>
      </c>
    </row>
    <row r="17" customFormat="false" ht="23.85" hidden="false" customHeight="false" outlineLevel="0" collapsed="false">
      <c r="A17" s="2" t="n">
        <v>16</v>
      </c>
      <c r="B17" s="2" t="s">
        <v>132</v>
      </c>
      <c r="C17" s="2" t="s">
        <v>107</v>
      </c>
      <c r="D17" s="2" t="s">
        <v>133</v>
      </c>
      <c r="E17" s="2" t="s">
        <v>109</v>
      </c>
      <c r="F17" s="2" t="s">
        <v>110</v>
      </c>
      <c r="G17" s="3" t="s">
        <v>134</v>
      </c>
      <c r="H17" s="2" t="s">
        <v>135</v>
      </c>
      <c r="I17" s="2" t="s">
        <v>136</v>
      </c>
      <c r="J17" s="2" t="s">
        <v>40</v>
      </c>
      <c r="K17" s="4" t="n">
        <v>3</v>
      </c>
      <c r="L17" s="2" t="s">
        <v>31</v>
      </c>
      <c r="M17" s="3" t="s">
        <v>137</v>
      </c>
      <c r="N17" s="2" t="s">
        <v>138</v>
      </c>
      <c r="O17" s="2" t="n">
        <f aca="false">IF(K17&gt;=20,5,IF(K17&gt;=10,4,IF(K17&gt;=3,3,IF(K17&gt;=1,2,1))))</f>
        <v>3</v>
      </c>
      <c r="P17" s="5" t="n">
        <v>3</v>
      </c>
      <c r="Q17" s="5" t="n">
        <v>5</v>
      </c>
      <c r="R17" s="5" t="n">
        <v>4</v>
      </c>
      <c r="S17" s="5" t="n">
        <v>3</v>
      </c>
      <c r="T17" s="2" t="n">
        <f aca="false">ROUND((O17*0.3+P17*0.25+Q17*0.15+R17*0.15+S17*0.15)/5*100,0)</f>
        <v>69</v>
      </c>
      <c r="U17" s="2" t="str">
        <f aca="false">IF(T17&gt;=80,"A - Hot",IF(T17&gt;=65,"B - Warm","C - Develop"))</f>
        <v>B - Warm</v>
      </c>
      <c r="V17" s="3" t="s">
        <v>34</v>
      </c>
    </row>
    <row r="18" customFormat="false" ht="23.85" hidden="false" customHeight="false" outlineLevel="0" collapsed="false">
      <c r="A18" s="2" t="n">
        <v>17</v>
      </c>
      <c r="B18" s="2" t="s">
        <v>139</v>
      </c>
      <c r="C18" s="2" t="s">
        <v>107</v>
      </c>
      <c r="D18" s="2" t="s">
        <v>108</v>
      </c>
      <c r="E18" s="2" t="s">
        <v>109</v>
      </c>
      <c r="F18" s="2" t="s">
        <v>110</v>
      </c>
      <c r="G18" s="3" t="s">
        <v>140</v>
      </c>
      <c r="H18" s="2" t="s">
        <v>141</v>
      </c>
      <c r="I18" s="2" t="s">
        <v>142</v>
      </c>
      <c r="J18" s="2" t="s">
        <v>40</v>
      </c>
      <c r="K18" s="4" t="n">
        <v>1.8</v>
      </c>
      <c r="L18" s="2" t="s">
        <v>31</v>
      </c>
      <c r="M18" s="3" t="s">
        <v>143</v>
      </c>
      <c r="N18" s="2" t="s">
        <v>144</v>
      </c>
      <c r="O18" s="2" t="n">
        <f aca="false">IF(K18&gt;=20,5,IF(K18&gt;=10,4,IF(K18&gt;=3,3,IF(K18&gt;=1,2,1))))</f>
        <v>2</v>
      </c>
      <c r="P18" s="5" t="n">
        <v>3</v>
      </c>
      <c r="Q18" s="5" t="n">
        <v>4</v>
      </c>
      <c r="R18" s="5" t="n">
        <v>4</v>
      </c>
      <c r="S18" s="5" t="n">
        <v>4</v>
      </c>
      <c r="T18" s="2" t="n">
        <f aca="false">ROUND((O18*0.3+P18*0.25+Q18*0.15+R18*0.15+S18*0.15)/5*100,0)</f>
        <v>63</v>
      </c>
      <c r="U18" s="2" t="str">
        <f aca="false">IF(T18&gt;=80,"A - Hot",IF(T18&gt;=65,"B - Warm","C - Develop"))</f>
        <v>C - Develop</v>
      </c>
      <c r="V18" s="3" t="s">
        <v>34</v>
      </c>
    </row>
    <row r="19" customFormat="false" ht="23.85" hidden="false" customHeight="false" outlineLevel="0" collapsed="false">
      <c r="A19" s="2" t="n">
        <v>18</v>
      </c>
      <c r="B19" s="2" t="s">
        <v>145</v>
      </c>
      <c r="C19" s="2" t="s">
        <v>107</v>
      </c>
      <c r="D19" s="2" t="s">
        <v>146</v>
      </c>
      <c r="E19" s="2" t="s">
        <v>147</v>
      </c>
      <c r="F19" s="2" t="s">
        <v>148</v>
      </c>
      <c r="G19" s="3" t="s">
        <v>149</v>
      </c>
      <c r="H19" s="2" t="s">
        <v>150</v>
      </c>
      <c r="I19" s="2" t="s">
        <v>151</v>
      </c>
      <c r="J19" s="2" t="s">
        <v>152</v>
      </c>
      <c r="K19" s="4" t="n">
        <v>20.8</v>
      </c>
      <c r="L19" s="2" t="s">
        <v>153</v>
      </c>
      <c r="M19" s="3" t="s">
        <v>154</v>
      </c>
      <c r="N19" s="2" t="s">
        <v>155</v>
      </c>
      <c r="O19" s="2" t="n">
        <f aca="false">IF(K19&gt;=20,5,IF(K19&gt;=10,4,IF(K19&gt;=3,3,IF(K19&gt;=1,2,1))))</f>
        <v>5</v>
      </c>
      <c r="P19" s="5" t="n">
        <v>2</v>
      </c>
      <c r="Q19" s="5" t="n">
        <v>5</v>
      </c>
      <c r="R19" s="5" t="n">
        <v>2</v>
      </c>
      <c r="S19" s="5" t="n">
        <v>2</v>
      </c>
      <c r="T19" s="2" t="n">
        <f aca="false">ROUND((O19*0.3+P19*0.25+Q19*0.15+R19*0.15+S19*0.15)/5*100,0)</f>
        <v>67</v>
      </c>
      <c r="U19" s="2" t="str">
        <f aca="false">IF(T19&gt;=80,"A - Hot",IF(T19&gt;=65,"B - Warm","C - Develop"))</f>
        <v>B - Warm</v>
      </c>
      <c r="V19" s="3" t="s">
        <v>34</v>
      </c>
    </row>
    <row r="20" customFormat="false" ht="23.85" hidden="false" customHeight="false" outlineLevel="0" collapsed="false">
      <c r="A20" s="2" t="n">
        <v>19</v>
      </c>
      <c r="B20" s="2" t="s">
        <v>156</v>
      </c>
      <c r="C20" s="2" t="s">
        <v>107</v>
      </c>
      <c r="D20" s="2" t="s">
        <v>157</v>
      </c>
      <c r="E20" s="2" t="s">
        <v>147</v>
      </c>
      <c r="F20" s="2" t="s">
        <v>148</v>
      </c>
      <c r="G20" s="3" t="s">
        <v>158</v>
      </c>
      <c r="H20" s="2" t="s">
        <v>159</v>
      </c>
      <c r="I20" s="2" t="s">
        <v>160</v>
      </c>
      <c r="J20" s="2" t="s">
        <v>161</v>
      </c>
      <c r="K20" s="4" t="n">
        <v>5.8</v>
      </c>
      <c r="L20" s="2" t="s">
        <v>31</v>
      </c>
      <c r="M20" s="3" t="s">
        <v>162</v>
      </c>
      <c r="N20" s="2" t="s">
        <v>163</v>
      </c>
      <c r="O20" s="2" t="n">
        <f aca="false">IF(K20&gt;=20,5,IF(K20&gt;=10,4,IF(K20&gt;=3,3,IF(K20&gt;=1,2,1))))</f>
        <v>3</v>
      </c>
      <c r="P20" s="5" t="n">
        <v>5</v>
      </c>
      <c r="Q20" s="5" t="n">
        <v>5</v>
      </c>
      <c r="R20" s="5" t="n">
        <v>5</v>
      </c>
      <c r="S20" s="5" t="n">
        <v>5</v>
      </c>
      <c r="T20" s="2" t="n">
        <f aca="false">ROUND((O20*0.3+P20*0.25+Q20*0.15+R20*0.15+S20*0.15)/5*100,0)</f>
        <v>88</v>
      </c>
      <c r="U20" s="2" t="str">
        <f aca="false">IF(T20&gt;=80,"A - Hot",IF(T20&gt;=65,"B - Warm","C - Develop"))</f>
        <v>A - Hot</v>
      </c>
      <c r="V20" s="3" t="s">
        <v>34</v>
      </c>
    </row>
    <row r="21" customFormat="false" ht="23.85" hidden="false" customHeight="false" outlineLevel="0" collapsed="false">
      <c r="A21" s="2" t="n">
        <v>20</v>
      </c>
      <c r="B21" s="2" t="s">
        <v>164</v>
      </c>
      <c r="C21" s="2" t="s">
        <v>107</v>
      </c>
      <c r="D21" s="2" t="s">
        <v>165</v>
      </c>
      <c r="E21" s="2" t="s">
        <v>147</v>
      </c>
      <c r="F21" s="2" t="s">
        <v>148</v>
      </c>
      <c r="G21" s="3" t="s">
        <v>166</v>
      </c>
      <c r="H21" s="2" t="s">
        <v>167</v>
      </c>
      <c r="I21" s="2" t="s">
        <v>168</v>
      </c>
      <c r="J21" s="2" t="s">
        <v>40</v>
      </c>
      <c r="K21" s="4" t="n">
        <v>3</v>
      </c>
      <c r="L21" s="2" t="s">
        <v>31</v>
      </c>
      <c r="M21" s="3" t="s">
        <v>169</v>
      </c>
      <c r="N21" s="2" t="s">
        <v>170</v>
      </c>
      <c r="O21" s="2" t="n">
        <f aca="false">IF(K21&gt;=20,5,IF(K21&gt;=10,4,IF(K21&gt;=3,3,IF(K21&gt;=1,2,1))))</f>
        <v>3</v>
      </c>
      <c r="P21" s="5" t="n">
        <v>3</v>
      </c>
      <c r="Q21" s="5" t="n">
        <v>5</v>
      </c>
      <c r="R21" s="5" t="n">
        <v>4</v>
      </c>
      <c r="S21" s="5" t="n">
        <v>4</v>
      </c>
      <c r="T21" s="2" t="n">
        <f aca="false">ROUND((O21*0.3+P21*0.25+Q21*0.15+R21*0.15+S21*0.15)/5*100,0)</f>
        <v>72</v>
      </c>
      <c r="U21" s="2" t="str">
        <f aca="false">IF(T21&gt;=80,"A - Hot",IF(T21&gt;=65,"B - Warm","C - Develop"))</f>
        <v>B - Warm</v>
      </c>
      <c r="V21" s="3" t="s">
        <v>34</v>
      </c>
    </row>
    <row r="22" customFormat="false" ht="23.85" hidden="false" customHeight="false" outlineLevel="0" collapsed="false">
      <c r="A22" s="2" t="n">
        <v>21</v>
      </c>
      <c r="B22" s="2" t="s">
        <v>171</v>
      </c>
      <c r="C22" s="2" t="s">
        <v>107</v>
      </c>
      <c r="D22" s="2" t="s">
        <v>146</v>
      </c>
      <c r="E22" s="2" t="s">
        <v>147</v>
      </c>
      <c r="F22" s="2" t="s">
        <v>148</v>
      </c>
      <c r="G22" s="3" t="s">
        <v>172</v>
      </c>
      <c r="H22" s="2" t="s">
        <v>173</v>
      </c>
      <c r="I22" s="2" t="s">
        <v>174</v>
      </c>
      <c r="J22" s="2" t="s">
        <v>40</v>
      </c>
      <c r="K22" s="4" t="n">
        <v>1.8</v>
      </c>
      <c r="L22" s="2" t="s">
        <v>31</v>
      </c>
      <c r="M22" s="3" t="s">
        <v>175</v>
      </c>
      <c r="N22" s="2" t="s">
        <v>170</v>
      </c>
      <c r="O22" s="2" t="n">
        <f aca="false">IF(K22&gt;=20,5,IF(K22&gt;=10,4,IF(K22&gt;=3,3,IF(K22&gt;=1,2,1))))</f>
        <v>2</v>
      </c>
      <c r="P22" s="5" t="n">
        <v>3</v>
      </c>
      <c r="Q22" s="5" t="n">
        <v>5</v>
      </c>
      <c r="R22" s="5" t="n">
        <v>4</v>
      </c>
      <c r="S22" s="5" t="n">
        <v>4</v>
      </c>
      <c r="T22" s="2" t="n">
        <f aca="false">ROUND((O22*0.3+P22*0.25+Q22*0.15+R22*0.15+S22*0.15)/5*100,0)</f>
        <v>66</v>
      </c>
      <c r="U22" s="2" t="str">
        <f aca="false">IF(T22&gt;=80,"A - Hot",IF(T22&gt;=65,"B - Warm","C - Develop"))</f>
        <v>B - Warm</v>
      </c>
      <c r="V22" s="3" t="s">
        <v>34</v>
      </c>
    </row>
    <row r="23" customFormat="false" ht="23.85" hidden="false" customHeight="false" outlineLevel="0" collapsed="false">
      <c r="A23" s="2" t="n">
        <v>22</v>
      </c>
      <c r="B23" s="2" t="s">
        <v>176</v>
      </c>
      <c r="C23" s="2" t="s">
        <v>107</v>
      </c>
      <c r="D23" s="2" t="s">
        <v>146</v>
      </c>
      <c r="E23" s="2" t="s">
        <v>147</v>
      </c>
      <c r="F23" s="2" t="s">
        <v>148</v>
      </c>
      <c r="G23" s="3" t="s">
        <v>177</v>
      </c>
      <c r="H23" s="2" t="s">
        <v>178</v>
      </c>
      <c r="I23" s="2" t="s">
        <v>179</v>
      </c>
      <c r="J23" s="2" t="s">
        <v>40</v>
      </c>
      <c r="K23" s="4" t="n">
        <v>1</v>
      </c>
      <c r="L23" s="2" t="s">
        <v>31</v>
      </c>
      <c r="M23" s="3" t="s">
        <v>180</v>
      </c>
      <c r="N23" s="2" t="s">
        <v>181</v>
      </c>
      <c r="O23" s="2" t="n">
        <f aca="false">IF(K23&gt;=20,5,IF(K23&gt;=10,4,IF(K23&gt;=3,3,IF(K23&gt;=1,2,1))))</f>
        <v>2</v>
      </c>
      <c r="P23" s="5" t="n">
        <v>3</v>
      </c>
      <c r="Q23" s="5" t="n">
        <v>5</v>
      </c>
      <c r="R23" s="5" t="n">
        <v>4</v>
      </c>
      <c r="S23" s="5" t="n">
        <v>4</v>
      </c>
      <c r="T23" s="2" t="n">
        <f aca="false">ROUND((O23*0.3+P23*0.25+Q23*0.15+R23*0.15+S23*0.15)/5*100,0)</f>
        <v>66</v>
      </c>
      <c r="U23" s="2" t="str">
        <f aca="false">IF(T23&gt;=80,"A - Hot",IF(T23&gt;=65,"B - Warm","C - Develop"))</f>
        <v>B - Warm</v>
      </c>
      <c r="V23" s="3" t="s">
        <v>34</v>
      </c>
    </row>
    <row r="24" customFormat="false" ht="23.85" hidden="false" customHeight="false" outlineLevel="0" collapsed="false">
      <c r="A24" s="2" t="n">
        <v>23</v>
      </c>
      <c r="B24" s="2" t="s">
        <v>182</v>
      </c>
      <c r="C24" s="2" t="s">
        <v>107</v>
      </c>
      <c r="D24" s="2" t="s">
        <v>183</v>
      </c>
      <c r="E24" s="2" t="s">
        <v>183</v>
      </c>
      <c r="F24" s="2" t="s">
        <v>184</v>
      </c>
      <c r="G24" s="3" t="s">
        <v>185</v>
      </c>
      <c r="H24" s="2" t="s">
        <v>186</v>
      </c>
      <c r="I24" s="2" t="s">
        <v>187</v>
      </c>
      <c r="J24" s="2" t="s">
        <v>40</v>
      </c>
      <c r="K24" s="4" t="n">
        <v>1.2</v>
      </c>
      <c r="L24" s="2" t="s">
        <v>188</v>
      </c>
      <c r="M24" s="3" t="s">
        <v>189</v>
      </c>
      <c r="N24" s="2" t="s">
        <v>138</v>
      </c>
      <c r="O24" s="2" t="n">
        <f aca="false">IF(K24&gt;=20,5,IF(K24&gt;=10,4,IF(K24&gt;=3,3,IF(K24&gt;=1,2,1))))</f>
        <v>2</v>
      </c>
      <c r="P24" s="5" t="n">
        <v>3</v>
      </c>
      <c r="Q24" s="5" t="n">
        <v>5</v>
      </c>
      <c r="R24" s="5" t="n">
        <v>4</v>
      </c>
      <c r="S24" s="5" t="n">
        <v>4</v>
      </c>
      <c r="T24" s="2" t="n">
        <f aca="false">ROUND((O24*0.3+P24*0.25+Q24*0.15+R24*0.15+S24*0.15)/5*100,0)</f>
        <v>66</v>
      </c>
      <c r="U24" s="2" t="str">
        <f aca="false">IF(T24&gt;=80,"A - Hot",IF(T24&gt;=65,"B - Warm","C - Develop"))</f>
        <v>B - Warm</v>
      </c>
      <c r="V24" s="3" t="s">
        <v>34</v>
      </c>
    </row>
    <row r="25" customFormat="false" ht="23.85" hidden="false" customHeight="false" outlineLevel="0" collapsed="false">
      <c r="A25" s="2" t="n">
        <v>24</v>
      </c>
      <c r="B25" s="2" t="s">
        <v>190</v>
      </c>
      <c r="C25" s="2" t="s">
        <v>107</v>
      </c>
      <c r="D25" s="2" t="s">
        <v>183</v>
      </c>
      <c r="E25" s="2" t="s">
        <v>183</v>
      </c>
      <c r="F25" s="2" t="s">
        <v>184</v>
      </c>
      <c r="G25" s="3" t="s">
        <v>191</v>
      </c>
      <c r="H25" s="2" t="s">
        <v>192</v>
      </c>
      <c r="I25" s="2" t="s">
        <v>193</v>
      </c>
      <c r="J25" s="2" t="s">
        <v>192</v>
      </c>
      <c r="K25" s="4" t="n">
        <v>1</v>
      </c>
      <c r="L25" s="2" t="s">
        <v>31</v>
      </c>
      <c r="M25" s="3" t="s">
        <v>194</v>
      </c>
      <c r="N25" s="2" t="s">
        <v>195</v>
      </c>
      <c r="O25" s="2" t="n">
        <f aca="false">IF(K25&gt;=20,5,IF(K25&gt;=10,4,IF(K25&gt;=3,3,IF(K25&gt;=1,2,1))))</f>
        <v>2</v>
      </c>
      <c r="P25" s="5" t="n">
        <v>3</v>
      </c>
      <c r="Q25" s="5" t="n">
        <v>5</v>
      </c>
      <c r="R25" s="5" t="n">
        <v>3</v>
      </c>
      <c r="S25" s="5" t="n">
        <v>3</v>
      </c>
      <c r="T25" s="2" t="n">
        <f aca="false">ROUND((O25*0.3+P25*0.25+Q25*0.15+R25*0.15+S25*0.15)/5*100,0)</f>
        <v>60</v>
      </c>
      <c r="U25" s="2" t="str">
        <f aca="false">IF(T25&gt;=80,"A - Hot",IF(T25&gt;=65,"B - Warm","C - Develop"))</f>
        <v>C - Develop</v>
      </c>
      <c r="V25" s="3" t="s">
        <v>34</v>
      </c>
    </row>
    <row r="26" customFormat="false" ht="23.85" hidden="false" customHeight="false" outlineLevel="0" collapsed="false">
      <c r="A26" s="2" t="n">
        <v>25</v>
      </c>
      <c r="B26" s="2" t="s">
        <v>196</v>
      </c>
      <c r="C26" s="2" t="s">
        <v>107</v>
      </c>
      <c r="D26" s="2" t="s">
        <v>197</v>
      </c>
      <c r="E26" s="2" t="s">
        <v>198</v>
      </c>
      <c r="F26" s="2" t="s">
        <v>184</v>
      </c>
      <c r="G26" s="3" t="s">
        <v>199</v>
      </c>
      <c r="H26" s="2" t="s">
        <v>200</v>
      </c>
      <c r="I26" s="2" t="s">
        <v>201</v>
      </c>
      <c r="J26" s="2" t="s">
        <v>202</v>
      </c>
      <c r="K26" s="4" t="n">
        <v>4</v>
      </c>
      <c r="L26" s="2" t="s">
        <v>31</v>
      </c>
      <c r="M26" s="3" t="s">
        <v>203</v>
      </c>
      <c r="N26" s="2" t="s">
        <v>204</v>
      </c>
      <c r="O26" s="2" t="n">
        <f aca="false">IF(K26&gt;=20,5,IF(K26&gt;=10,4,IF(K26&gt;=3,3,IF(K26&gt;=1,2,1))))</f>
        <v>3</v>
      </c>
      <c r="P26" s="5" t="n">
        <v>4</v>
      </c>
      <c r="Q26" s="5" t="n">
        <v>4</v>
      </c>
      <c r="R26" s="5" t="n">
        <v>4</v>
      </c>
      <c r="S26" s="5" t="n">
        <v>3</v>
      </c>
      <c r="T26" s="2" t="n">
        <f aca="false">ROUND((O26*0.3+P26*0.25+Q26*0.15+R26*0.15+S26*0.15)/5*100,0)</f>
        <v>71</v>
      </c>
      <c r="U26" s="2" t="str">
        <f aca="false">IF(T26&gt;=80,"A - Hot",IF(T26&gt;=65,"B - Warm","C - Develop"))</f>
        <v>B - Warm</v>
      </c>
      <c r="V26" s="3" t="s">
        <v>34</v>
      </c>
    </row>
    <row r="27" customFormat="false" ht="23.85" hidden="false" customHeight="false" outlineLevel="0" collapsed="false">
      <c r="A27" s="2" t="n">
        <v>26</v>
      </c>
      <c r="B27" s="2" t="s">
        <v>205</v>
      </c>
      <c r="C27" s="2" t="s">
        <v>206</v>
      </c>
      <c r="D27" s="2" t="s">
        <v>207</v>
      </c>
      <c r="E27" s="2" t="s">
        <v>208</v>
      </c>
      <c r="F27" s="2" t="s">
        <v>208</v>
      </c>
      <c r="G27" s="3" t="s">
        <v>209</v>
      </c>
      <c r="H27" s="2" t="s">
        <v>210</v>
      </c>
      <c r="I27" s="2" t="s">
        <v>113</v>
      </c>
      <c r="J27" s="2" t="s">
        <v>211</v>
      </c>
      <c r="K27" s="4" t="n">
        <v>100</v>
      </c>
      <c r="L27" s="2" t="s">
        <v>212</v>
      </c>
      <c r="M27" s="3" t="s">
        <v>213</v>
      </c>
      <c r="N27" s="2" t="s">
        <v>214</v>
      </c>
      <c r="O27" s="2" t="n">
        <f aca="false">IF(K27&gt;=20,5,IF(K27&gt;=10,4,IF(K27&gt;=3,3,IF(K27&gt;=1,2,1))))</f>
        <v>5</v>
      </c>
      <c r="P27" s="5" t="n">
        <v>4</v>
      </c>
      <c r="Q27" s="5" t="n">
        <v>4</v>
      </c>
      <c r="R27" s="5" t="n">
        <v>3</v>
      </c>
      <c r="S27" s="5" t="n">
        <v>3</v>
      </c>
      <c r="T27" s="2" t="n">
        <f aca="false">ROUND((O27*0.3+P27*0.25+Q27*0.15+R27*0.15+S27*0.15)/5*100,0)</f>
        <v>80</v>
      </c>
      <c r="U27" s="2" t="str">
        <f aca="false">IF(T27&gt;=80,"A - Hot",IF(T27&gt;=65,"B - Warm","C - Develop"))</f>
        <v>A - Hot</v>
      </c>
      <c r="V27" s="3" t="s">
        <v>34</v>
      </c>
    </row>
    <row r="28" customFormat="false" ht="23.85" hidden="false" customHeight="false" outlineLevel="0" collapsed="false">
      <c r="A28" s="2" t="n">
        <v>27</v>
      </c>
      <c r="B28" s="2" t="s">
        <v>215</v>
      </c>
      <c r="C28" s="2" t="s">
        <v>206</v>
      </c>
      <c r="D28" s="2" t="s">
        <v>216</v>
      </c>
      <c r="E28" s="2" t="s">
        <v>208</v>
      </c>
      <c r="F28" s="2" t="s">
        <v>208</v>
      </c>
      <c r="G28" s="3" t="s">
        <v>217</v>
      </c>
      <c r="H28" s="2" t="s">
        <v>218</v>
      </c>
      <c r="I28" s="2" t="s">
        <v>113</v>
      </c>
      <c r="J28" s="2" t="s">
        <v>219</v>
      </c>
      <c r="K28" s="4" t="n">
        <v>84</v>
      </c>
      <c r="L28" s="2" t="s">
        <v>31</v>
      </c>
      <c r="M28" s="3" t="s">
        <v>220</v>
      </c>
      <c r="N28" s="2" t="s">
        <v>195</v>
      </c>
      <c r="O28" s="2" t="n">
        <f aca="false">IF(K28&gt;=20,5,IF(K28&gt;=10,4,IF(K28&gt;=3,3,IF(K28&gt;=1,2,1))))</f>
        <v>5</v>
      </c>
      <c r="P28" s="5" t="n">
        <v>4</v>
      </c>
      <c r="Q28" s="5" t="n">
        <v>4</v>
      </c>
      <c r="R28" s="5" t="n">
        <v>3</v>
      </c>
      <c r="S28" s="5" t="n">
        <v>3</v>
      </c>
      <c r="T28" s="2" t="n">
        <f aca="false">ROUND((O28*0.3+P28*0.25+Q28*0.15+R28*0.15+S28*0.15)/5*100,0)</f>
        <v>80</v>
      </c>
      <c r="U28" s="2" t="str">
        <f aca="false">IF(T28&gt;=80,"A - Hot",IF(T28&gt;=65,"B - Warm","C - Develop"))</f>
        <v>A - Hot</v>
      </c>
      <c r="V28" s="3" t="s">
        <v>34</v>
      </c>
    </row>
    <row r="29" customFormat="false" ht="23.85" hidden="false" customHeight="false" outlineLevel="0" collapsed="false">
      <c r="A29" s="2" t="n">
        <v>28</v>
      </c>
      <c r="B29" s="2" t="s">
        <v>221</v>
      </c>
      <c r="C29" s="2" t="s">
        <v>206</v>
      </c>
      <c r="D29" s="2" t="s">
        <v>222</v>
      </c>
      <c r="E29" s="2" t="s">
        <v>208</v>
      </c>
      <c r="F29" s="2" t="s">
        <v>208</v>
      </c>
      <c r="G29" s="3" t="s">
        <v>223</v>
      </c>
      <c r="H29" s="2" t="s">
        <v>224</v>
      </c>
      <c r="I29" s="2" t="s">
        <v>79</v>
      </c>
      <c r="J29" s="2" t="s">
        <v>225</v>
      </c>
      <c r="K29" s="4" t="n">
        <v>36</v>
      </c>
      <c r="L29" s="2" t="s">
        <v>31</v>
      </c>
      <c r="M29" s="3" t="s">
        <v>226</v>
      </c>
      <c r="N29" s="2" t="s">
        <v>195</v>
      </c>
      <c r="O29" s="2" t="n">
        <f aca="false">IF(K29&gt;=20,5,IF(K29&gt;=10,4,IF(K29&gt;=3,3,IF(K29&gt;=1,2,1))))</f>
        <v>5</v>
      </c>
      <c r="P29" s="5" t="n">
        <v>4</v>
      </c>
      <c r="Q29" s="5" t="n">
        <v>4</v>
      </c>
      <c r="R29" s="5" t="n">
        <v>4</v>
      </c>
      <c r="S29" s="5" t="n">
        <v>4</v>
      </c>
      <c r="T29" s="2" t="n">
        <f aca="false">ROUND((O29*0.3+P29*0.25+Q29*0.15+R29*0.15+S29*0.15)/5*100,0)</f>
        <v>86</v>
      </c>
      <c r="U29" s="2" t="str">
        <f aca="false">IF(T29&gt;=80,"A - Hot",IF(T29&gt;=65,"B - Warm","C - Develop"))</f>
        <v>A - Hot</v>
      </c>
      <c r="V29" s="3" t="s">
        <v>34</v>
      </c>
    </row>
    <row r="30" customFormat="false" ht="23.85" hidden="false" customHeight="false" outlineLevel="0" collapsed="false">
      <c r="A30" s="2" t="n">
        <v>29</v>
      </c>
      <c r="B30" s="2" t="s">
        <v>227</v>
      </c>
      <c r="C30" s="2" t="s">
        <v>206</v>
      </c>
      <c r="D30" s="2" t="s">
        <v>228</v>
      </c>
      <c r="E30" s="2" t="s">
        <v>208</v>
      </c>
      <c r="F30" s="2" t="s">
        <v>208</v>
      </c>
      <c r="G30" s="3" t="s">
        <v>229</v>
      </c>
      <c r="H30" s="2" t="s">
        <v>230</v>
      </c>
      <c r="I30" s="2" t="s">
        <v>231</v>
      </c>
      <c r="J30" s="2" t="s">
        <v>232</v>
      </c>
      <c r="K30" s="4" t="n">
        <v>33</v>
      </c>
      <c r="L30" s="2" t="s">
        <v>233</v>
      </c>
      <c r="M30" s="3" t="s">
        <v>234</v>
      </c>
      <c r="N30" s="2" t="s">
        <v>195</v>
      </c>
      <c r="O30" s="2" t="n">
        <f aca="false">IF(K30&gt;=20,5,IF(K30&gt;=10,4,IF(K30&gt;=3,3,IF(K30&gt;=1,2,1))))</f>
        <v>5</v>
      </c>
      <c r="P30" s="5" t="n">
        <v>3</v>
      </c>
      <c r="Q30" s="5" t="n">
        <v>4</v>
      </c>
      <c r="R30" s="5" t="n">
        <v>3</v>
      </c>
      <c r="S30" s="5" t="n">
        <v>3</v>
      </c>
      <c r="T30" s="2" t="n">
        <f aca="false">ROUND((O30*0.3+P30*0.25+Q30*0.15+R30*0.15+S30*0.15)/5*100,0)</f>
        <v>75</v>
      </c>
      <c r="U30" s="2" t="str">
        <f aca="false">IF(T30&gt;=80,"A - Hot",IF(T30&gt;=65,"B - Warm","C - Develop"))</f>
        <v>B - Warm</v>
      </c>
      <c r="V30" s="3" t="s">
        <v>34</v>
      </c>
    </row>
    <row r="31" customFormat="false" ht="23.85" hidden="false" customHeight="false" outlineLevel="0" collapsed="false">
      <c r="A31" s="2" t="n">
        <v>30</v>
      </c>
      <c r="B31" s="2" t="s">
        <v>235</v>
      </c>
      <c r="C31" s="2" t="s">
        <v>206</v>
      </c>
      <c r="D31" s="2" t="s">
        <v>207</v>
      </c>
      <c r="E31" s="2" t="s">
        <v>208</v>
      </c>
      <c r="F31" s="2" t="s">
        <v>208</v>
      </c>
      <c r="G31" s="3" t="s">
        <v>236</v>
      </c>
      <c r="H31" s="2" t="s">
        <v>237</v>
      </c>
      <c r="I31" s="2" t="s">
        <v>238</v>
      </c>
      <c r="J31" s="2" t="s">
        <v>239</v>
      </c>
      <c r="K31" s="4" t="n">
        <v>25</v>
      </c>
      <c r="L31" s="2" t="s">
        <v>31</v>
      </c>
      <c r="M31" s="3" t="s">
        <v>240</v>
      </c>
      <c r="N31" s="2" t="s">
        <v>195</v>
      </c>
      <c r="O31" s="2" t="n">
        <f aca="false">IF(K31&gt;=20,5,IF(K31&gt;=10,4,IF(K31&gt;=3,3,IF(K31&gt;=1,2,1))))</f>
        <v>5</v>
      </c>
      <c r="P31" s="5" t="n">
        <v>4</v>
      </c>
      <c r="Q31" s="5" t="n">
        <v>4</v>
      </c>
      <c r="R31" s="5" t="n">
        <v>4</v>
      </c>
      <c r="S31" s="5" t="n">
        <v>4</v>
      </c>
      <c r="T31" s="2" t="n">
        <f aca="false">ROUND((O31*0.3+P31*0.25+Q31*0.15+R31*0.15+S31*0.15)/5*100,0)</f>
        <v>86</v>
      </c>
      <c r="U31" s="2" t="str">
        <f aca="false">IF(T31&gt;=80,"A - Hot",IF(T31&gt;=65,"B - Warm","C - Develop"))</f>
        <v>A - Hot</v>
      </c>
      <c r="V31" s="3" t="s">
        <v>34</v>
      </c>
    </row>
    <row r="32" customFormat="false" ht="23.85" hidden="false" customHeight="false" outlineLevel="0" collapsed="false">
      <c r="A32" s="2" t="n">
        <v>31</v>
      </c>
      <c r="B32" s="2" t="s">
        <v>241</v>
      </c>
      <c r="C32" s="2" t="s">
        <v>206</v>
      </c>
      <c r="D32" s="2" t="s">
        <v>242</v>
      </c>
      <c r="E32" s="2" t="s">
        <v>208</v>
      </c>
      <c r="F32" s="2" t="s">
        <v>208</v>
      </c>
      <c r="G32" s="3" t="s">
        <v>243</v>
      </c>
      <c r="H32" s="2" t="s">
        <v>244</v>
      </c>
      <c r="I32" s="2" t="s">
        <v>245</v>
      </c>
      <c r="J32" s="2" t="s">
        <v>40</v>
      </c>
      <c r="K32" s="4" t="n">
        <v>24</v>
      </c>
      <c r="L32" s="2" t="s">
        <v>31</v>
      </c>
      <c r="M32" s="3" t="s">
        <v>246</v>
      </c>
      <c r="N32" s="2" t="s">
        <v>195</v>
      </c>
      <c r="O32" s="2" t="n">
        <f aca="false">IF(K32&gt;=20,5,IF(K32&gt;=10,4,IF(K32&gt;=3,3,IF(K32&gt;=1,2,1))))</f>
        <v>5</v>
      </c>
      <c r="P32" s="5" t="n">
        <v>4</v>
      </c>
      <c r="Q32" s="5" t="n">
        <v>4</v>
      </c>
      <c r="R32" s="5" t="n">
        <v>5</v>
      </c>
      <c r="S32" s="5" t="n">
        <v>4</v>
      </c>
      <c r="T32" s="2" t="n">
        <f aca="false">ROUND((O32*0.3+P32*0.25+Q32*0.15+R32*0.15+S32*0.15)/5*100,0)</f>
        <v>89</v>
      </c>
      <c r="U32" s="2" t="str">
        <f aca="false">IF(T32&gt;=80,"A - Hot",IF(T32&gt;=65,"B - Warm","C - Develop"))</f>
        <v>A - Hot</v>
      </c>
      <c r="V32" s="3" t="s">
        <v>34</v>
      </c>
    </row>
    <row r="33" customFormat="false" ht="23.85" hidden="false" customHeight="false" outlineLevel="0" collapsed="false">
      <c r="A33" s="2" t="n">
        <v>32</v>
      </c>
      <c r="B33" s="2" t="s">
        <v>247</v>
      </c>
      <c r="C33" s="2" t="s">
        <v>206</v>
      </c>
      <c r="D33" s="2" t="s">
        <v>207</v>
      </c>
      <c r="E33" s="2" t="s">
        <v>208</v>
      </c>
      <c r="F33" s="2" t="s">
        <v>208</v>
      </c>
      <c r="G33" s="3" t="s">
        <v>248</v>
      </c>
      <c r="H33" s="2" t="s">
        <v>249</v>
      </c>
      <c r="I33" s="2" t="s">
        <v>160</v>
      </c>
      <c r="J33" s="2" t="s">
        <v>250</v>
      </c>
      <c r="K33" s="4" t="n">
        <v>28</v>
      </c>
      <c r="L33" s="2" t="s">
        <v>31</v>
      </c>
      <c r="M33" s="3" t="s">
        <v>251</v>
      </c>
      <c r="N33" s="2" t="s">
        <v>195</v>
      </c>
      <c r="O33" s="2" t="n">
        <f aca="false">IF(K33&gt;=20,5,IF(K33&gt;=10,4,IF(K33&gt;=3,3,IF(K33&gt;=1,2,1))))</f>
        <v>5</v>
      </c>
      <c r="P33" s="5" t="n">
        <v>5</v>
      </c>
      <c r="Q33" s="5" t="n">
        <v>4</v>
      </c>
      <c r="R33" s="5" t="n">
        <v>4</v>
      </c>
      <c r="S33" s="5" t="n">
        <v>3</v>
      </c>
      <c r="T33" s="2" t="n">
        <f aca="false">ROUND((O33*0.3+P33*0.25+Q33*0.15+R33*0.15+S33*0.15)/5*100,0)</f>
        <v>88</v>
      </c>
      <c r="U33" s="2" t="str">
        <f aca="false">IF(T33&gt;=80,"A - Hot",IF(T33&gt;=65,"B - Warm","C - Develop"))</f>
        <v>A - Hot</v>
      </c>
      <c r="V33" s="3" t="s">
        <v>34</v>
      </c>
    </row>
    <row r="34" customFormat="false" ht="23.85" hidden="false" customHeight="false" outlineLevel="0" collapsed="false">
      <c r="A34" s="2" t="n">
        <v>33</v>
      </c>
      <c r="B34" s="2" t="s">
        <v>252</v>
      </c>
      <c r="C34" s="2" t="s">
        <v>206</v>
      </c>
      <c r="D34" s="2" t="s">
        <v>207</v>
      </c>
      <c r="E34" s="2" t="s">
        <v>208</v>
      </c>
      <c r="F34" s="2" t="s">
        <v>208</v>
      </c>
      <c r="G34" s="3" t="s">
        <v>253</v>
      </c>
      <c r="H34" s="2" t="s">
        <v>254</v>
      </c>
      <c r="I34" s="2" t="s">
        <v>113</v>
      </c>
      <c r="J34" s="2" t="s">
        <v>255</v>
      </c>
      <c r="K34" s="4" t="n">
        <v>23</v>
      </c>
      <c r="L34" s="2" t="s">
        <v>233</v>
      </c>
      <c r="M34" s="3" t="s">
        <v>256</v>
      </c>
      <c r="N34" s="2" t="s">
        <v>195</v>
      </c>
      <c r="O34" s="2" t="n">
        <f aca="false">IF(K34&gt;=20,5,IF(K34&gt;=10,4,IF(K34&gt;=3,3,IF(K34&gt;=1,2,1))))</f>
        <v>5</v>
      </c>
      <c r="P34" s="5" t="n">
        <v>4</v>
      </c>
      <c r="Q34" s="5" t="n">
        <v>4</v>
      </c>
      <c r="R34" s="5" t="n">
        <v>3</v>
      </c>
      <c r="S34" s="5" t="n">
        <v>3</v>
      </c>
      <c r="T34" s="2" t="n">
        <f aca="false">ROUND((O34*0.3+P34*0.25+Q34*0.15+R34*0.15+S34*0.15)/5*100,0)</f>
        <v>80</v>
      </c>
      <c r="U34" s="2" t="str">
        <f aca="false">IF(T34&gt;=80,"A - Hot",IF(T34&gt;=65,"B - Warm","C - Develop"))</f>
        <v>A - Hot</v>
      </c>
      <c r="V34" s="3" t="s">
        <v>34</v>
      </c>
    </row>
    <row r="35" customFormat="false" ht="23.85" hidden="false" customHeight="false" outlineLevel="0" collapsed="false">
      <c r="A35" s="2" t="n">
        <v>34</v>
      </c>
      <c r="B35" s="2" t="s">
        <v>257</v>
      </c>
      <c r="C35" s="2" t="s">
        <v>206</v>
      </c>
      <c r="D35" s="2" t="s">
        <v>258</v>
      </c>
      <c r="E35" s="2" t="s">
        <v>208</v>
      </c>
      <c r="F35" s="2" t="s">
        <v>208</v>
      </c>
      <c r="G35" s="3" t="s">
        <v>259</v>
      </c>
      <c r="H35" s="2" t="s">
        <v>260</v>
      </c>
      <c r="I35" s="2" t="s">
        <v>79</v>
      </c>
      <c r="J35" s="2" t="s">
        <v>261</v>
      </c>
      <c r="K35" s="4" t="n">
        <v>22</v>
      </c>
      <c r="L35" s="2" t="s">
        <v>212</v>
      </c>
      <c r="M35" s="3" t="s">
        <v>262</v>
      </c>
      <c r="N35" s="2" t="s">
        <v>195</v>
      </c>
      <c r="O35" s="2" t="n">
        <f aca="false">IF(K35&gt;=20,5,IF(K35&gt;=10,4,IF(K35&gt;=3,3,IF(K35&gt;=1,2,1))))</f>
        <v>5</v>
      </c>
      <c r="P35" s="5" t="n">
        <v>3</v>
      </c>
      <c r="Q35" s="5" t="n">
        <v>4</v>
      </c>
      <c r="R35" s="5" t="n">
        <v>4</v>
      </c>
      <c r="S35" s="5" t="n">
        <v>4</v>
      </c>
      <c r="T35" s="2" t="n">
        <f aca="false">ROUND((O35*0.3+P35*0.25+Q35*0.15+R35*0.15+S35*0.15)/5*100,0)</f>
        <v>81</v>
      </c>
      <c r="U35" s="2" t="str">
        <f aca="false">IF(T35&gt;=80,"A - Hot",IF(T35&gt;=65,"B - Warm","C - Develop"))</f>
        <v>A - Hot</v>
      </c>
      <c r="V35" s="3" t="s">
        <v>34</v>
      </c>
    </row>
    <row r="36" customFormat="false" ht="23.85" hidden="false" customHeight="false" outlineLevel="0" collapsed="false">
      <c r="A36" s="2" t="n">
        <v>35</v>
      </c>
      <c r="B36" s="2" t="s">
        <v>263</v>
      </c>
      <c r="C36" s="2" t="s">
        <v>206</v>
      </c>
      <c r="D36" s="2" t="s">
        <v>207</v>
      </c>
      <c r="E36" s="2" t="s">
        <v>208</v>
      </c>
      <c r="F36" s="2" t="s">
        <v>208</v>
      </c>
      <c r="G36" s="3" t="s">
        <v>264</v>
      </c>
      <c r="H36" s="2" t="s">
        <v>265</v>
      </c>
      <c r="I36" s="2" t="s">
        <v>266</v>
      </c>
      <c r="J36" s="2" t="s">
        <v>40</v>
      </c>
      <c r="K36" s="4" t="n">
        <v>1.4</v>
      </c>
      <c r="L36" s="2" t="s">
        <v>31</v>
      </c>
      <c r="M36" s="3" t="s">
        <v>267</v>
      </c>
      <c r="N36" s="2" t="s">
        <v>268</v>
      </c>
      <c r="O36" s="2" t="n">
        <f aca="false">IF(K36&gt;=20,5,IF(K36&gt;=10,4,IF(K36&gt;=3,3,IF(K36&gt;=1,2,1))))</f>
        <v>2</v>
      </c>
      <c r="P36" s="5" t="n">
        <v>3</v>
      </c>
      <c r="Q36" s="5" t="n">
        <v>4</v>
      </c>
      <c r="R36" s="5" t="n">
        <v>5</v>
      </c>
      <c r="S36" s="5" t="n">
        <v>3</v>
      </c>
      <c r="T36" s="2" t="n">
        <f aca="false">ROUND((O36*0.3+P36*0.25+Q36*0.15+R36*0.15+S36*0.15)/5*100,0)</f>
        <v>63</v>
      </c>
      <c r="U36" s="2" t="str">
        <f aca="false">IF(T36&gt;=80,"A - Hot",IF(T36&gt;=65,"B - Warm","C - Develop"))</f>
        <v>C - Develop</v>
      </c>
      <c r="V36" s="3" t="s">
        <v>34</v>
      </c>
    </row>
  </sheetData>
  <autoFilter ref="A1:V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6" t="s">
        <v>269</v>
      </c>
    </row>
    <row r="2" customFormat="false" ht="15" hidden="false" customHeight="false" outlineLevel="0" collapsed="false">
      <c r="A2" s="7"/>
      <c r="B2" s="8"/>
    </row>
    <row r="3" customFormat="false" ht="23.85" hidden="false" customHeight="false" outlineLevel="0" collapsed="false">
      <c r="A3" s="7" t="s">
        <v>270</v>
      </c>
      <c r="B3" s="8" t="s">
        <v>271</v>
      </c>
    </row>
    <row r="4" customFormat="false" ht="15" hidden="false" customHeight="false" outlineLevel="0" collapsed="false">
      <c r="A4" s="7" t="s">
        <v>272</v>
      </c>
      <c r="B4" s="8" t="s">
        <v>273</v>
      </c>
    </row>
    <row r="5" customFormat="false" ht="15" hidden="false" customHeight="false" outlineLevel="0" collapsed="false">
      <c r="A5" s="7" t="s">
        <v>274</v>
      </c>
      <c r="B5" s="8" t="s">
        <v>275</v>
      </c>
    </row>
    <row r="6" customFormat="false" ht="15" hidden="false" customHeight="false" outlineLevel="0" collapsed="false">
      <c r="A6" s="7"/>
      <c r="B6" s="8"/>
    </row>
    <row r="7" customFormat="false" ht="23.85" hidden="false" customHeight="false" outlineLevel="0" collapsed="false">
      <c r="A7" s="7" t="s">
        <v>276</v>
      </c>
      <c r="B7" s="8" t="s">
        <v>277</v>
      </c>
    </row>
    <row r="8" customFormat="false" ht="23.85" hidden="false" customHeight="false" outlineLevel="0" collapsed="false">
      <c r="A8" s="7" t="s">
        <v>278</v>
      </c>
      <c r="B8" s="8" t="s">
        <v>279</v>
      </c>
    </row>
    <row r="9" customFormat="false" ht="15" hidden="false" customHeight="false" outlineLevel="0" collapsed="false">
      <c r="A9" s="7"/>
      <c r="B9" s="8"/>
    </row>
    <row r="10" customFormat="false" ht="23.85" hidden="false" customHeight="false" outlineLevel="0" collapsed="false">
      <c r="A10" s="7" t="s">
        <v>280</v>
      </c>
      <c r="B10" s="8" t="s">
        <v>281</v>
      </c>
    </row>
    <row r="11" customFormat="false" ht="15" hidden="false" customHeight="false" outlineLevel="0" collapsed="false">
      <c r="A11" s="7" t="s">
        <v>282</v>
      </c>
      <c r="B11" s="8" t="s">
        <v>283</v>
      </c>
    </row>
    <row r="12" customFormat="false" ht="15" hidden="false" customHeight="false" outlineLevel="0" collapsed="false">
      <c r="A12" s="7" t="s">
        <v>284</v>
      </c>
      <c r="B12" s="8" t="s">
        <v>285</v>
      </c>
    </row>
    <row r="13" customFormat="false" ht="23.85" hidden="false" customHeight="false" outlineLevel="0" collapsed="false">
      <c r="A13" s="7" t="s">
        <v>286</v>
      </c>
      <c r="B13" s="8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2026-06-20T15:02:53Z</dcterms:created>
  <dc:creator>openpyxl</dc:creator>
  <dc:description/>
  <dc:language>en-US</dc:language>
  <cp:lastModifiedBy/>
  <dcterms:modified xsi:type="dcterms:W3CDTF">2026-06-20T15:02:53Z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